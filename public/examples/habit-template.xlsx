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'演示老师-周六上午'!$A$2:$L$30</definedName>
    <definedName name="_xlnm.Print_Titles" localSheetId="0">'演示老师-周六上午'!$1:$2</definedName>
    <definedName name="_xlnm.Print_Area" localSheetId="0">'演示老师-周六上午'!$A$1:$N$32</definedName>
    <definedName name="_xlnm._FilterDatabase" localSheetId="1" hidden="1">'演示老师-周日下午'!$A$2:$L$30</definedName>
    <definedName name="_xlnm.Print_Titles" localSheetId="1">'演示老师-周日下午'!$1:$2</definedName>
    <definedName name="_xlnm.Print_Area" localSheetId="1">'演示老师-周日下午'!$A$1:$N$32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b val="1"/>
      <color rgb="FF245575"/>
      <sz val="11"/>
    </font>
    <font>
      <name val="Arial"/>
      <b val="1"/>
      <color rgb="FF24374A"/>
      <sz val="11"/>
    </font>
    <font>
      <name val="Carlito"/>
      <b val="1"/>
      <color rgb="FFFFFFFF"/>
      <sz val="11"/>
    </font>
    <font>
      <name val="Carlito"/>
      <color rgb="FF63788D"/>
      <sz val="10"/>
    </font>
  </fonts>
  <fills count="10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245575"/>
      </patternFill>
    </fill>
    <fill>
      <patternFill patternType="solid">
        <fgColor rgb="FFE8EEF5"/>
      </patternFill>
    </fill>
    <fill>
      <patternFill patternType="solid">
        <fgColor rgb="FFFFF3D6"/>
      </patternFill>
    </fill>
    <fill>
      <patternFill patternType="solid">
        <fgColor rgb="FF347F83"/>
      </patternFill>
    </fill>
    <fill>
      <patternFill patternType="solid">
        <fgColor rgb="FF676391"/>
      </patternFill>
    </fill>
    <fill>
      <patternFill patternType="solid">
        <fgColor rgb="FFEAF2FA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9" fontId="1" fillId="2" borderId="1" applyAlignment="1" pivotButton="0" quotePrefix="0" xfId="0">
      <alignment vertical="center"/>
    </xf>
    <xf numFmtId="9" fontId="1" fillId="3" borderId="1" applyAlignment="1" pivotButton="0" quotePrefix="0" xfId="0">
      <alignment vertical="center"/>
    </xf>
    <xf numFmtId="9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9" fontId="1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 wrapText="1"/>
    </xf>
    <xf numFmtId="0" fontId="7" fillId="0" borderId="0" pivotButton="0" quotePrefix="0" xfId="0"/>
    <xf numFmtId="9" fontId="1" fillId="6" borderId="1" applyAlignment="1" pivotButton="0" quotePrefix="0" xfId="0">
      <alignment vertical="center"/>
    </xf>
    <xf numFmtId="9" fontId="1" fillId="9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N3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9" customWidth="1" min="9" max="9"/>
    <col width="12" customWidth="1" min="10" max="10"/>
    <col width="9" customWidth="1" min="11" max="11"/>
    <col width="10" customWidth="1" min="12" max="12"/>
    <col width="12" customWidth="1" min="13" max="13"/>
    <col width="16" customWidth="1" min="14" max="14"/>
  </cols>
  <sheetData>
    <row r="1" ht="31" customHeight="1">
      <c r="A1" s="13" t="inlineStr">
        <is>
          <t>周习惯数据表</t>
        </is>
      </c>
      <c r="M1" s="16" t="inlineStr">
        <is>
          <t>课型</t>
        </is>
      </c>
      <c r="N1" s="18" t="inlineStr">
        <is>
          <t>三年级</t>
        </is>
      </c>
    </row>
    <row r="2" ht="42" customHeight="1">
      <c r="A2" s="10" t="inlineStr">
        <is>
          <t>序号</t>
        </is>
      </c>
      <c r="B2" s="10" t="inlineStr">
        <is>
          <t>中文名</t>
        </is>
      </c>
      <c r="C2" s="10" t="inlineStr">
        <is>
          <t>英文名</t>
        </is>
      </c>
      <c r="D2" s="10" t="inlineStr">
        <is>
          <t>作业完成度</t>
        </is>
      </c>
      <c r="E2" s="10" t="inlineStr">
        <is>
          <t>等级</t>
        </is>
      </c>
      <c r="F2" s="19" t="inlineStr">
        <is>
          <t>家长打卡天数</t>
        </is>
      </c>
      <c r="G2" s="19" t="inlineStr">
        <is>
          <t>家长打卡率</t>
        </is>
      </c>
      <c r="H2" s="10" t="inlineStr">
        <is>
          <t>两项平均值</t>
        </is>
      </c>
      <c r="I2" s="10" t="inlineStr">
        <is>
          <t>等级</t>
        </is>
      </c>
      <c r="J2" s="20" t="inlineStr">
        <is>
          <t>朗读分</t>
        </is>
      </c>
      <c r="K2" s="20" t="inlineStr">
        <is>
          <t>等级</t>
        </is>
      </c>
      <c r="L2" s="19" t="inlineStr">
        <is>
          <t>星币数</t>
        </is>
      </c>
      <c r="M2" s="16" t="inlineStr">
        <is>
          <t>时间段</t>
        </is>
      </c>
      <c r="N2" s="18" t="inlineStr">
        <is>
          <t>周六上午</t>
        </is>
      </c>
    </row>
    <row r="3" ht="25" customHeight="1">
      <c r="A3" s="11" t="n">
        <v>1</v>
      </c>
      <c r="B3" s="4" t="inlineStr">
        <is>
          <t>林同学</t>
        </is>
      </c>
      <c r="C3" s="4" t="inlineStr">
        <is>
          <t>Lily</t>
        </is>
      </c>
      <c r="D3" s="34" t="n"/>
      <c r="E3" s="27">
        <f>IF(ISNUMBER(D3),IF(D3&gt;=1,"A+",IF(D3&gt;=0.9,"A",IF(D3&gt;=0.8,"B",IF(D3&gt;=0.7,"C","D")))),"")</f>
        <v/>
      </c>
      <c r="F3" s="24" t="n"/>
      <c r="G3" s="35">
        <f>IF(ISNUMBER(F3),ROUND(F3/7,2),"")</f>
        <v/>
      </c>
      <c r="H3" s="35">
        <f>IF(AND(ISNUMBER(D3),ISNUMBER(G3)),ROUND((D3+G3)/2,2),"")</f>
        <v/>
      </c>
      <c r="I3" s="27">
        <f>IF(ISNUMBER(H3),IF(H3&gt;=1,"A+",IF(H3&gt;=0.9,"A",IF(H3&gt;=0.8,"B",IF(H3&gt;=0.7,"C","D")))),"")</f>
        <v/>
      </c>
      <c r="J3" s="24" t="n"/>
      <c r="K3" s="27">
        <f>IF(ISNUMBER(J3),IF(J3&gt;=96,"A+",IF(J3&gt;=90,"A",IF(J3&gt;=80,"B",IF(J3&gt;=70,"C","D")))),"")</f>
        <v/>
      </c>
      <c r="L3" s="25">
        <f>IF(OR(ISNUMBER(H3),ISNUMBER(J3)),IF(ISNUMBER(H3),IF(H3&gt;=1,2,IF(H3&gt;=0.9,1,0)),0)+IF(ISNUMBER(J3),IF(J3&gt;=96,2,IF(J3&gt;=90,1,0)),0),"")</f>
        <v/>
      </c>
      <c r="M3" s="2" t="n"/>
      <c r="N3" s="2" t="n"/>
    </row>
    <row r="4" ht="25" customHeight="1">
      <c r="A4" s="12" t="n">
        <v>2</v>
      </c>
      <c r="B4" s="6" t="inlineStr">
        <is>
          <t>陈同学</t>
        </is>
      </c>
      <c r="C4" s="6" t="inlineStr">
        <is>
          <t>Eric</t>
        </is>
      </c>
      <c r="D4" s="34" t="n"/>
      <c r="E4" s="27">
        <f>IF(ISNUMBER(D4),IF(D4&gt;=1,"A+",IF(D4&gt;=0.9,"A",IF(D4&gt;=0.8,"B",IF(D4&gt;=0.7,"C","D")))),"")</f>
        <v/>
      </c>
      <c r="F4" s="24" t="n"/>
      <c r="G4" s="35">
        <f>IF(ISNUMBER(F4),ROUND(F4/7,2),"")</f>
        <v/>
      </c>
      <c r="H4" s="35">
        <f>IF(AND(ISNUMBER(D4),ISNUMBER(G4)),ROUND((D4+G4)/2,2),"")</f>
        <v/>
      </c>
      <c r="I4" s="27">
        <f>IF(ISNUMBER(H4),IF(H4&gt;=1,"A+",IF(H4&gt;=0.9,"A",IF(H4&gt;=0.8,"B",IF(H4&gt;=0.7,"C","D")))),"")</f>
        <v/>
      </c>
      <c r="J4" s="24" t="n"/>
      <c r="K4" s="27">
        <f>IF(ISNUMBER(J4),IF(J4&gt;=96,"A+",IF(J4&gt;=90,"A",IF(J4&gt;=80,"B",IF(J4&gt;=70,"C","D")))),"")</f>
        <v/>
      </c>
      <c r="L4" s="25">
        <f>IF(OR(ISNUMBER(H4),ISNUMBER(J4)),IF(ISNUMBER(H4),IF(H4&gt;=1,2,IF(H4&gt;=0.9,1,0)),0)+IF(ISNUMBER(J4),IF(J4&gt;=96,2,IF(J4&gt;=90,1,0)),0),"")</f>
        <v/>
      </c>
      <c r="M4" s="2" t="n"/>
      <c r="N4" s="2" t="n"/>
    </row>
    <row r="5" ht="25" customHeight="1">
      <c r="A5" s="11" t="n">
        <v>3</v>
      </c>
      <c r="B5" s="4" t="inlineStr">
        <is>
          <t>吴同学</t>
        </is>
      </c>
      <c r="C5" s="4" t="inlineStr">
        <is>
          <t>Amy</t>
        </is>
      </c>
      <c r="D5" s="34" t="n"/>
      <c r="E5" s="27">
        <f>IF(ISNUMBER(D5),IF(D5&gt;=1,"A+",IF(D5&gt;=0.9,"A",IF(D5&gt;=0.8,"B",IF(D5&gt;=0.7,"C","D")))),"")</f>
        <v/>
      </c>
      <c r="F5" s="24" t="n"/>
      <c r="G5" s="35">
        <f>IF(ISNUMBER(F5),ROUND(F5/7,2),"")</f>
        <v/>
      </c>
      <c r="H5" s="35">
        <f>IF(AND(ISNUMBER(D5),ISNUMBER(G5)),ROUND((D5+G5)/2,2),"")</f>
        <v/>
      </c>
      <c r="I5" s="27">
        <f>IF(ISNUMBER(H5),IF(H5&gt;=1,"A+",IF(H5&gt;=0.9,"A",IF(H5&gt;=0.8,"B",IF(H5&gt;=0.7,"C","D")))),"")</f>
        <v/>
      </c>
      <c r="J5" s="24" t="n"/>
      <c r="K5" s="27">
        <f>IF(ISNUMBER(J5),IF(J5&gt;=96,"A+",IF(J5&gt;=90,"A",IF(J5&gt;=80,"B",IF(J5&gt;=70,"C","D")))),"")</f>
        <v/>
      </c>
      <c r="L5" s="25">
        <f>IF(OR(ISNUMBER(H5),ISNUMBER(J5)),IF(ISNUMBER(H5),IF(H5&gt;=1,2,IF(H5&gt;=0.9,1,0)),0)+IF(ISNUMBER(J5),IF(J5&gt;=96,2,IF(J5&gt;=90,1,0)),0),"")</f>
        <v/>
      </c>
      <c r="M5" s="2" t="n"/>
      <c r="N5" s="2" t="n"/>
    </row>
    <row r="6" ht="25" customHeight="1">
      <c r="A6" s="12" t="n"/>
      <c r="B6" s="6" t="n"/>
      <c r="C6" s="6" t="n"/>
      <c r="D6" s="34" t="n"/>
      <c r="E6" s="27">
        <f>IF(ISNUMBER(D6),IF(D6&gt;=1,"A+",IF(D6&gt;=0.9,"A",IF(D6&gt;=0.8,"B",IF(D6&gt;=0.7,"C","D")))),"")</f>
        <v/>
      </c>
      <c r="F6" s="24" t="n"/>
      <c r="G6" s="35">
        <f>IF(ISNUMBER(F6),ROUND(F6/7,2),"")</f>
        <v/>
      </c>
      <c r="H6" s="35">
        <f>IF(AND(ISNUMBER(D6),ISNUMBER(G6)),ROUND((D6+G6)/2,2),"")</f>
        <v/>
      </c>
      <c r="I6" s="27">
        <f>IF(ISNUMBER(H6),IF(H6&gt;=1,"A+",IF(H6&gt;=0.9,"A",IF(H6&gt;=0.8,"B",IF(H6&gt;=0.7,"C","D")))),"")</f>
        <v/>
      </c>
      <c r="J6" s="24" t="n"/>
      <c r="K6" s="27">
        <f>IF(ISNUMBER(J6),IF(J6&gt;=96,"A+",IF(J6&gt;=90,"A",IF(J6&gt;=80,"B",IF(J6&gt;=70,"C","D")))),"")</f>
        <v/>
      </c>
      <c r="L6" s="25">
        <f>IF(OR(ISNUMBER(H6),ISNUMBER(J6)),IF(ISNUMBER(H6),IF(H6&gt;=1,2,IF(H6&gt;=0.9,1,0)),0)+IF(ISNUMBER(J6),IF(J6&gt;=96,2,IF(J6&gt;=90,1,0)),0),"")</f>
        <v/>
      </c>
      <c r="M6" s="2" t="n"/>
      <c r="N6" s="2" t="n"/>
    </row>
    <row r="7" ht="25" customHeight="1">
      <c r="A7" s="11" t="n"/>
      <c r="B7" s="4" t="n"/>
      <c r="C7" s="4" t="n"/>
      <c r="D7" s="34" t="n"/>
      <c r="E7" s="27">
        <f>IF(ISNUMBER(D7),IF(D7&gt;=1,"A+",IF(D7&gt;=0.9,"A",IF(D7&gt;=0.8,"B",IF(D7&gt;=0.7,"C","D")))),"")</f>
        <v/>
      </c>
      <c r="F7" s="24" t="n"/>
      <c r="G7" s="35">
        <f>IF(ISNUMBER(F7),ROUND(F7/7,2),"")</f>
        <v/>
      </c>
      <c r="H7" s="35">
        <f>IF(AND(ISNUMBER(D7),ISNUMBER(G7)),ROUND((D7+G7)/2,2),"")</f>
        <v/>
      </c>
      <c r="I7" s="27">
        <f>IF(ISNUMBER(H7),IF(H7&gt;=1,"A+",IF(H7&gt;=0.9,"A",IF(H7&gt;=0.8,"B",IF(H7&gt;=0.7,"C","D")))),"")</f>
        <v/>
      </c>
      <c r="J7" s="24" t="n"/>
      <c r="K7" s="27">
        <f>IF(ISNUMBER(J7),IF(J7&gt;=96,"A+",IF(J7&gt;=90,"A",IF(J7&gt;=80,"B",IF(J7&gt;=70,"C","D")))),"")</f>
        <v/>
      </c>
      <c r="L7" s="25">
        <f>IF(OR(ISNUMBER(H7),ISNUMBER(J7)),IF(ISNUMBER(H7),IF(H7&gt;=1,2,IF(H7&gt;=0.9,1,0)),0)+IF(ISNUMBER(J7),IF(J7&gt;=96,2,IF(J7&gt;=90,1,0)),0),"")</f>
        <v/>
      </c>
      <c r="M7" s="2" t="n"/>
      <c r="N7" s="2" t="n"/>
    </row>
    <row r="8" ht="25" customHeight="1">
      <c r="A8" s="12" t="n"/>
      <c r="B8" s="6" t="n"/>
      <c r="C8" s="6" t="n"/>
      <c r="D8" s="34" t="n"/>
      <c r="E8" s="27">
        <f>IF(ISNUMBER(D8),IF(D8&gt;=1,"A+",IF(D8&gt;=0.9,"A",IF(D8&gt;=0.8,"B",IF(D8&gt;=0.7,"C","D")))),"")</f>
        <v/>
      </c>
      <c r="F8" s="24" t="n"/>
      <c r="G8" s="35">
        <f>IF(ISNUMBER(F8),ROUND(F8/7,2),"")</f>
        <v/>
      </c>
      <c r="H8" s="35">
        <f>IF(AND(ISNUMBER(D8),ISNUMBER(G8)),ROUND((D8+G8)/2,2),"")</f>
        <v/>
      </c>
      <c r="I8" s="27">
        <f>IF(ISNUMBER(H8),IF(H8&gt;=1,"A+",IF(H8&gt;=0.9,"A",IF(H8&gt;=0.8,"B",IF(H8&gt;=0.7,"C","D")))),"")</f>
        <v/>
      </c>
      <c r="J8" s="24" t="n"/>
      <c r="K8" s="27">
        <f>IF(ISNUMBER(J8),IF(J8&gt;=96,"A+",IF(J8&gt;=90,"A",IF(J8&gt;=80,"B",IF(J8&gt;=70,"C","D")))),"")</f>
        <v/>
      </c>
      <c r="L8" s="25">
        <f>IF(OR(ISNUMBER(H8),ISNUMBER(J8)),IF(ISNUMBER(H8),IF(H8&gt;=1,2,IF(H8&gt;=0.9,1,0)),0)+IF(ISNUMBER(J8),IF(J8&gt;=96,2,IF(J8&gt;=90,1,0)),0),"")</f>
        <v/>
      </c>
      <c r="M8" s="2" t="n"/>
      <c r="N8" s="2" t="n"/>
    </row>
    <row r="9" ht="25" customHeight="1">
      <c r="A9" s="11" t="n"/>
      <c r="B9" s="4" t="n"/>
      <c r="C9" s="4" t="n"/>
      <c r="D9" s="34" t="n"/>
      <c r="E9" s="27">
        <f>IF(ISNUMBER(D9),IF(D9&gt;=1,"A+",IF(D9&gt;=0.9,"A",IF(D9&gt;=0.8,"B",IF(D9&gt;=0.7,"C","D")))),"")</f>
        <v/>
      </c>
      <c r="F9" s="24" t="n"/>
      <c r="G9" s="35">
        <f>IF(ISNUMBER(F9),ROUND(F9/7,2),"")</f>
        <v/>
      </c>
      <c r="H9" s="35">
        <f>IF(AND(ISNUMBER(D9),ISNUMBER(G9)),ROUND((D9+G9)/2,2),"")</f>
        <v/>
      </c>
      <c r="I9" s="27">
        <f>IF(ISNUMBER(H9),IF(H9&gt;=1,"A+",IF(H9&gt;=0.9,"A",IF(H9&gt;=0.8,"B",IF(H9&gt;=0.7,"C","D")))),"")</f>
        <v/>
      </c>
      <c r="J9" s="24" t="n"/>
      <c r="K9" s="27">
        <f>IF(ISNUMBER(J9),IF(J9&gt;=96,"A+",IF(J9&gt;=90,"A",IF(J9&gt;=80,"B",IF(J9&gt;=70,"C","D")))),"")</f>
        <v/>
      </c>
      <c r="L9" s="25">
        <f>IF(OR(ISNUMBER(H9),ISNUMBER(J9)),IF(ISNUMBER(H9),IF(H9&gt;=1,2,IF(H9&gt;=0.9,1,0)),0)+IF(ISNUMBER(J9),IF(J9&gt;=96,2,IF(J9&gt;=90,1,0)),0),"")</f>
        <v/>
      </c>
      <c r="M9" s="2" t="n"/>
      <c r="N9" s="2" t="n"/>
    </row>
    <row r="10" ht="25" customHeight="1">
      <c r="A10" s="12" t="n"/>
      <c r="B10" s="6" t="n"/>
      <c r="C10" s="6" t="n"/>
      <c r="D10" s="34" t="n"/>
      <c r="E10" s="27">
        <f>IF(ISNUMBER(D10),IF(D10&gt;=1,"A+",IF(D10&gt;=0.9,"A",IF(D10&gt;=0.8,"B",IF(D10&gt;=0.7,"C","D")))),"")</f>
        <v/>
      </c>
      <c r="F10" s="24" t="n"/>
      <c r="G10" s="35">
        <f>IF(ISNUMBER(F10),ROUND(F10/7,2),"")</f>
        <v/>
      </c>
      <c r="H10" s="35">
        <f>IF(AND(ISNUMBER(D10),ISNUMBER(G10)),ROUND((D10+G10)/2,2),"")</f>
        <v/>
      </c>
      <c r="I10" s="27">
        <f>IF(ISNUMBER(H10),IF(H10&gt;=1,"A+",IF(H10&gt;=0.9,"A",IF(H10&gt;=0.8,"B",IF(H10&gt;=0.7,"C","D")))),"")</f>
        <v/>
      </c>
      <c r="J10" s="24" t="n"/>
      <c r="K10" s="27">
        <f>IF(ISNUMBER(J10),IF(J10&gt;=96,"A+",IF(J10&gt;=90,"A",IF(J10&gt;=80,"B",IF(J10&gt;=70,"C","D")))),"")</f>
        <v/>
      </c>
      <c r="L10" s="25">
        <f>IF(OR(ISNUMBER(H10),ISNUMBER(J10)),IF(ISNUMBER(H10),IF(H10&gt;=1,2,IF(H10&gt;=0.9,1,0)),0)+IF(ISNUMBER(J10),IF(J10&gt;=96,2,IF(J10&gt;=90,1,0)),0),"")</f>
        <v/>
      </c>
      <c r="M10" s="2" t="n"/>
      <c r="N10" s="2" t="n"/>
    </row>
    <row r="11" ht="25" customHeight="1">
      <c r="A11" s="11" t="n"/>
      <c r="B11" s="4" t="n"/>
      <c r="C11" s="4" t="n"/>
      <c r="D11" s="34" t="n"/>
      <c r="E11" s="27">
        <f>IF(ISNUMBER(D11),IF(D11&gt;=1,"A+",IF(D11&gt;=0.9,"A",IF(D11&gt;=0.8,"B",IF(D11&gt;=0.7,"C","D")))),"")</f>
        <v/>
      </c>
      <c r="F11" s="24" t="n"/>
      <c r="G11" s="35">
        <f>IF(ISNUMBER(F11),ROUND(F11/7,2),"")</f>
        <v/>
      </c>
      <c r="H11" s="35">
        <f>IF(AND(ISNUMBER(D11),ISNUMBER(G11)),ROUND((D11+G11)/2,2),"")</f>
        <v/>
      </c>
      <c r="I11" s="27">
        <f>IF(ISNUMBER(H11),IF(H11&gt;=1,"A+",IF(H11&gt;=0.9,"A",IF(H11&gt;=0.8,"B",IF(H11&gt;=0.7,"C","D")))),"")</f>
        <v/>
      </c>
      <c r="J11" s="24" t="n"/>
      <c r="K11" s="27">
        <f>IF(ISNUMBER(J11),IF(J11&gt;=96,"A+",IF(J11&gt;=90,"A",IF(J11&gt;=80,"B",IF(J11&gt;=70,"C","D")))),"")</f>
        <v/>
      </c>
      <c r="L11" s="25">
        <f>IF(OR(ISNUMBER(H11),ISNUMBER(J11)),IF(ISNUMBER(H11),IF(H11&gt;=1,2,IF(H11&gt;=0.9,1,0)),0)+IF(ISNUMBER(J11),IF(J11&gt;=96,2,IF(J11&gt;=90,1,0)),0),"")</f>
        <v/>
      </c>
      <c r="M11" s="2" t="n"/>
      <c r="N11" s="2" t="n"/>
    </row>
    <row r="12" ht="25" customHeight="1">
      <c r="A12" s="12" t="n"/>
      <c r="B12" s="6" t="n"/>
      <c r="C12" s="6" t="n"/>
      <c r="D12" s="34" t="n"/>
      <c r="E12" s="27">
        <f>IF(ISNUMBER(D12),IF(D12&gt;=1,"A+",IF(D12&gt;=0.9,"A",IF(D12&gt;=0.8,"B",IF(D12&gt;=0.7,"C","D")))),"")</f>
        <v/>
      </c>
      <c r="F12" s="24" t="n"/>
      <c r="G12" s="35">
        <f>IF(ISNUMBER(F12),ROUND(F12/7,2),"")</f>
        <v/>
      </c>
      <c r="H12" s="35">
        <f>IF(AND(ISNUMBER(D12),ISNUMBER(G12)),ROUND((D12+G12)/2,2),"")</f>
        <v/>
      </c>
      <c r="I12" s="27">
        <f>IF(ISNUMBER(H12),IF(H12&gt;=1,"A+",IF(H12&gt;=0.9,"A",IF(H12&gt;=0.8,"B",IF(H12&gt;=0.7,"C","D")))),"")</f>
        <v/>
      </c>
      <c r="J12" s="24" t="n"/>
      <c r="K12" s="27">
        <f>IF(ISNUMBER(J12),IF(J12&gt;=96,"A+",IF(J12&gt;=90,"A",IF(J12&gt;=80,"B",IF(J12&gt;=70,"C","D")))),"")</f>
        <v/>
      </c>
      <c r="L12" s="25">
        <f>IF(OR(ISNUMBER(H12),ISNUMBER(J12)),IF(ISNUMBER(H12),IF(H12&gt;=1,2,IF(H12&gt;=0.9,1,0)),0)+IF(ISNUMBER(J12),IF(J12&gt;=96,2,IF(J12&gt;=90,1,0)),0),"")</f>
        <v/>
      </c>
      <c r="M12" s="2" t="n"/>
      <c r="N12" s="2" t="n"/>
    </row>
    <row r="13" ht="25" customHeight="1">
      <c r="A13" s="11" t="n"/>
      <c r="B13" s="4" t="n"/>
      <c r="C13" s="4" t="n"/>
      <c r="D13" s="34" t="n"/>
      <c r="E13" s="27">
        <f>IF(ISNUMBER(D13),IF(D13&gt;=1,"A+",IF(D13&gt;=0.9,"A",IF(D13&gt;=0.8,"B",IF(D13&gt;=0.7,"C","D")))),"")</f>
        <v/>
      </c>
      <c r="F13" s="24" t="n"/>
      <c r="G13" s="35">
        <f>IF(ISNUMBER(F13),ROUND(F13/7,2),"")</f>
        <v/>
      </c>
      <c r="H13" s="35">
        <f>IF(AND(ISNUMBER(D13),ISNUMBER(G13)),ROUND((D13+G13)/2,2),"")</f>
        <v/>
      </c>
      <c r="I13" s="27">
        <f>IF(ISNUMBER(H13),IF(H13&gt;=1,"A+",IF(H13&gt;=0.9,"A",IF(H13&gt;=0.8,"B",IF(H13&gt;=0.7,"C","D")))),"")</f>
        <v/>
      </c>
      <c r="J13" s="24" t="n"/>
      <c r="K13" s="27">
        <f>IF(ISNUMBER(J13),IF(J13&gt;=96,"A+",IF(J13&gt;=90,"A",IF(J13&gt;=80,"B",IF(J13&gt;=70,"C","D")))),"")</f>
        <v/>
      </c>
      <c r="L13" s="25">
        <f>IF(OR(ISNUMBER(H13),ISNUMBER(J13)),IF(ISNUMBER(H13),IF(H13&gt;=1,2,IF(H13&gt;=0.9,1,0)),0)+IF(ISNUMBER(J13),IF(J13&gt;=96,2,IF(J13&gt;=90,1,0)),0),"")</f>
        <v/>
      </c>
      <c r="M13" s="2" t="n"/>
      <c r="N13" s="2" t="n"/>
    </row>
    <row r="14" ht="25" customHeight="1">
      <c r="A14" s="12" t="n"/>
      <c r="B14" s="6" t="n"/>
      <c r="C14" s="6" t="n"/>
      <c r="D14" s="34" t="n"/>
      <c r="E14" s="27">
        <f>IF(ISNUMBER(D14),IF(D14&gt;=1,"A+",IF(D14&gt;=0.9,"A",IF(D14&gt;=0.8,"B",IF(D14&gt;=0.7,"C","D")))),"")</f>
        <v/>
      </c>
      <c r="F14" s="24" t="n"/>
      <c r="G14" s="35">
        <f>IF(ISNUMBER(F14),ROUND(F14/7,2),"")</f>
        <v/>
      </c>
      <c r="H14" s="35">
        <f>IF(AND(ISNUMBER(D14),ISNUMBER(G14)),ROUND((D14+G14)/2,2),"")</f>
        <v/>
      </c>
      <c r="I14" s="27">
        <f>IF(ISNUMBER(H14),IF(H14&gt;=1,"A+",IF(H14&gt;=0.9,"A",IF(H14&gt;=0.8,"B",IF(H14&gt;=0.7,"C","D")))),"")</f>
        <v/>
      </c>
      <c r="J14" s="24" t="n"/>
      <c r="K14" s="27">
        <f>IF(ISNUMBER(J14),IF(J14&gt;=96,"A+",IF(J14&gt;=90,"A",IF(J14&gt;=80,"B",IF(J14&gt;=70,"C","D")))),"")</f>
        <v/>
      </c>
      <c r="L14" s="25">
        <f>IF(OR(ISNUMBER(H14),ISNUMBER(J14)),IF(ISNUMBER(H14),IF(H14&gt;=1,2,IF(H14&gt;=0.9,1,0)),0)+IF(ISNUMBER(J14),IF(J14&gt;=96,2,IF(J14&gt;=90,1,0)),0),"")</f>
        <v/>
      </c>
      <c r="M14" s="2" t="n"/>
      <c r="N14" s="2" t="n"/>
    </row>
    <row r="15" ht="25" customHeight="1">
      <c r="A15" s="11" t="n"/>
      <c r="B15" s="4" t="n"/>
      <c r="C15" s="4" t="n"/>
      <c r="D15" s="34" t="n"/>
      <c r="E15" s="27">
        <f>IF(ISNUMBER(D15),IF(D15&gt;=1,"A+",IF(D15&gt;=0.9,"A",IF(D15&gt;=0.8,"B",IF(D15&gt;=0.7,"C","D")))),"")</f>
        <v/>
      </c>
      <c r="F15" s="24" t="n"/>
      <c r="G15" s="35">
        <f>IF(ISNUMBER(F15),ROUND(F15/7,2),"")</f>
        <v/>
      </c>
      <c r="H15" s="35">
        <f>IF(AND(ISNUMBER(D15),ISNUMBER(G15)),ROUND((D15+G15)/2,2),"")</f>
        <v/>
      </c>
      <c r="I15" s="27">
        <f>IF(ISNUMBER(H15),IF(H15&gt;=1,"A+",IF(H15&gt;=0.9,"A",IF(H15&gt;=0.8,"B",IF(H15&gt;=0.7,"C","D")))),"")</f>
        <v/>
      </c>
      <c r="J15" s="24" t="n"/>
      <c r="K15" s="27">
        <f>IF(ISNUMBER(J15),IF(J15&gt;=96,"A+",IF(J15&gt;=90,"A",IF(J15&gt;=80,"B",IF(J15&gt;=70,"C","D")))),"")</f>
        <v/>
      </c>
      <c r="L15" s="25">
        <f>IF(OR(ISNUMBER(H15),ISNUMBER(J15)),IF(ISNUMBER(H15),IF(H15&gt;=1,2,IF(H15&gt;=0.9,1,0)),0)+IF(ISNUMBER(J15),IF(J15&gt;=96,2,IF(J15&gt;=90,1,0)),0),"")</f>
        <v/>
      </c>
      <c r="M15" s="2" t="n"/>
      <c r="N15" s="2" t="n"/>
    </row>
    <row r="16" ht="25" customHeight="1">
      <c r="A16" s="12" t="n"/>
      <c r="B16" s="6" t="n"/>
      <c r="C16" s="6" t="n"/>
      <c r="D16" s="34" t="n"/>
      <c r="E16" s="27">
        <f>IF(ISNUMBER(D16),IF(D16&gt;=1,"A+",IF(D16&gt;=0.9,"A",IF(D16&gt;=0.8,"B",IF(D16&gt;=0.7,"C","D")))),"")</f>
        <v/>
      </c>
      <c r="F16" s="24" t="n"/>
      <c r="G16" s="35">
        <f>IF(ISNUMBER(F16),ROUND(F16/7,2),"")</f>
        <v/>
      </c>
      <c r="H16" s="35">
        <f>IF(AND(ISNUMBER(D16),ISNUMBER(G16)),ROUND((D16+G16)/2,2),"")</f>
        <v/>
      </c>
      <c r="I16" s="27">
        <f>IF(ISNUMBER(H16),IF(H16&gt;=1,"A+",IF(H16&gt;=0.9,"A",IF(H16&gt;=0.8,"B",IF(H16&gt;=0.7,"C","D")))),"")</f>
        <v/>
      </c>
      <c r="J16" s="24" t="n"/>
      <c r="K16" s="27">
        <f>IF(ISNUMBER(J16),IF(J16&gt;=96,"A+",IF(J16&gt;=90,"A",IF(J16&gt;=80,"B",IF(J16&gt;=70,"C","D")))),"")</f>
        <v/>
      </c>
      <c r="L16" s="25">
        <f>IF(OR(ISNUMBER(H16),ISNUMBER(J16)),IF(ISNUMBER(H16),IF(H16&gt;=1,2,IF(H16&gt;=0.9,1,0)),0)+IF(ISNUMBER(J16),IF(J16&gt;=96,2,IF(J16&gt;=90,1,0)),0),"")</f>
        <v/>
      </c>
      <c r="M16" s="2" t="n"/>
      <c r="N16" s="2" t="n"/>
    </row>
    <row r="17" ht="25" customHeight="1">
      <c r="A17" s="11" t="n"/>
      <c r="B17" s="4" t="n"/>
      <c r="C17" s="4" t="n"/>
      <c r="D17" s="34" t="n"/>
      <c r="E17" s="27">
        <f>IF(ISNUMBER(D17),IF(D17&gt;=1,"A+",IF(D17&gt;=0.9,"A",IF(D17&gt;=0.8,"B",IF(D17&gt;=0.7,"C","D")))),"")</f>
        <v/>
      </c>
      <c r="F17" s="24" t="n"/>
      <c r="G17" s="35">
        <f>IF(ISNUMBER(F17),ROUND(F17/7,2),"")</f>
        <v/>
      </c>
      <c r="H17" s="35">
        <f>IF(AND(ISNUMBER(D17),ISNUMBER(G17)),ROUND((D17+G17)/2,2),"")</f>
        <v/>
      </c>
      <c r="I17" s="27">
        <f>IF(ISNUMBER(H17),IF(H17&gt;=1,"A+",IF(H17&gt;=0.9,"A",IF(H17&gt;=0.8,"B",IF(H17&gt;=0.7,"C","D")))),"")</f>
        <v/>
      </c>
      <c r="J17" s="24" t="n"/>
      <c r="K17" s="27">
        <f>IF(ISNUMBER(J17),IF(J17&gt;=96,"A+",IF(J17&gt;=90,"A",IF(J17&gt;=80,"B",IF(J17&gt;=70,"C","D")))),"")</f>
        <v/>
      </c>
      <c r="L17" s="25">
        <f>IF(OR(ISNUMBER(H17),ISNUMBER(J17)),IF(ISNUMBER(H17),IF(H17&gt;=1,2,IF(H17&gt;=0.9,1,0)),0)+IF(ISNUMBER(J17),IF(J17&gt;=96,2,IF(J17&gt;=90,1,0)),0),"")</f>
        <v/>
      </c>
      <c r="M17" s="2" t="n"/>
      <c r="N17" s="2" t="n"/>
    </row>
    <row r="18" ht="25" customHeight="1">
      <c r="A18" s="12" t="n"/>
      <c r="B18" s="6" t="n"/>
      <c r="C18" s="6" t="n"/>
      <c r="D18" s="34" t="n"/>
      <c r="E18" s="27">
        <f>IF(ISNUMBER(D18),IF(D18&gt;=1,"A+",IF(D18&gt;=0.9,"A",IF(D18&gt;=0.8,"B",IF(D18&gt;=0.7,"C","D")))),"")</f>
        <v/>
      </c>
      <c r="F18" s="24" t="n"/>
      <c r="G18" s="35">
        <f>IF(ISNUMBER(F18),ROUND(F18/7,2),"")</f>
        <v/>
      </c>
      <c r="H18" s="35">
        <f>IF(AND(ISNUMBER(D18),ISNUMBER(G18)),ROUND((D18+G18)/2,2),"")</f>
        <v/>
      </c>
      <c r="I18" s="27">
        <f>IF(ISNUMBER(H18),IF(H18&gt;=1,"A+",IF(H18&gt;=0.9,"A",IF(H18&gt;=0.8,"B",IF(H18&gt;=0.7,"C","D")))),"")</f>
        <v/>
      </c>
      <c r="J18" s="24" t="n"/>
      <c r="K18" s="27">
        <f>IF(ISNUMBER(J18),IF(J18&gt;=96,"A+",IF(J18&gt;=90,"A",IF(J18&gt;=80,"B",IF(J18&gt;=70,"C","D")))),"")</f>
        <v/>
      </c>
      <c r="L18" s="25">
        <f>IF(OR(ISNUMBER(H18),ISNUMBER(J18)),IF(ISNUMBER(H18),IF(H18&gt;=1,2,IF(H18&gt;=0.9,1,0)),0)+IF(ISNUMBER(J18),IF(J18&gt;=96,2,IF(J18&gt;=90,1,0)),0),"")</f>
        <v/>
      </c>
      <c r="M18" s="2" t="n"/>
      <c r="N18" s="2" t="n"/>
    </row>
    <row r="19" ht="25" customHeight="1">
      <c r="A19" s="11" t="n"/>
      <c r="B19" s="4" t="n"/>
      <c r="C19" s="4" t="n"/>
      <c r="D19" s="34" t="n"/>
      <c r="E19" s="27">
        <f>IF(ISNUMBER(D19),IF(D19&gt;=1,"A+",IF(D19&gt;=0.9,"A",IF(D19&gt;=0.8,"B",IF(D19&gt;=0.7,"C","D")))),"")</f>
        <v/>
      </c>
      <c r="F19" s="24" t="n"/>
      <c r="G19" s="35">
        <f>IF(ISNUMBER(F19),ROUND(F19/7,2),"")</f>
        <v/>
      </c>
      <c r="H19" s="35">
        <f>IF(AND(ISNUMBER(D19),ISNUMBER(G19)),ROUND((D19+G19)/2,2),"")</f>
        <v/>
      </c>
      <c r="I19" s="27">
        <f>IF(ISNUMBER(H19),IF(H19&gt;=1,"A+",IF(H19&gt;=0.9,"A",IF(H19&gt;=0.8,"B",IF(H19&gt;=0.7,"C","D")))),"")</f>
        <v/>
      </c>
      <c r="J19" s="24" t="n"/>
      <c r="K19" s="27">
        <f>IF(ISNUMBER(J19),IF(J19&gt;=96,"A+",IF(J19&gt;=90,"A",IF(J19&gt;=80,"B",IF(J19&gt;=70,"C","D")))),"")</f>
        <v/>
      </c>
      <c r="L19" s="25">
        <f>IF(OR(ISNUMBER(H19),ISNUMBER(J19)),IF(ISNUMBER(H19),IF(H19&gt;=1,2,IF(H19&gt;=0.9,1,0)),0)+IF(ISNUMBER(J19),IF(J19&gt;=96,2,IF(J19&gt;=90,1,0)),0),"")</f>
        <v/>
      </c>
      <c r="M19" s="2" t="n"/>
      <c r="N19" s="2" t="n"/>
    </row>
    <row r="20" ht="25" customHeight="1">
      <c r="A20" s="12" t="n"/>
      <c r="B20" s="6" t="n"/>
      <c r="C20" s="6" t="n"/>
      <c r="D20" s="34" t="n"/>
      <c r="E20" s="27">
        <f>IF(ISNUMBER(D20),IF(D20&gt;=1,"A+",IF(D20&gt;=0.9,"A",IF(D20&gt;=0.8,"B",IF(D20&gt;=0.7,"C","D")))),"")</f>
        <v/>
      </c>
      <c r="F20" s="24" t="n"/>
      <c r="G20" s="35">
        <f>IF(ISNUMBER(F20),ROUND(F20/7,2),"")</f>
        <v/>
      </c>
      <c r="H20" s="35">
        <f>IF(AND(ISNUMBER(D20),ISNUMBER(G20)),ROUND((D20+G20)/2,2),"")</f>
        <v/>
      </c>
      <c r="I20" s="27">
        <f>IF(ISNUMBER(H20),IF(H20&gt;=1,"A+",IF(H20&gt;=0.9,"A",IF(H20&gt;=0.8,"B",IF(H20&gt;=0.7,"C","D")))),"")</f>
        <v/>
      </c>
      <c r="J20" s="24" t="n"/>
      <c r="K20" s="27">
        <f>IF(ISNUMBER(J20),IF(J20&gt;=96,"A+",IF(J20&gt;=90,"A",IF(J20&gt;=80,"B",IF(J20&gt;=70,"C","D")))),"")</f>
        <v/>
      </c>
      <c r="L20" s="25">
        <f>IF(OR(ISNUMBER(H20),ISNUMBER(J20)),IF(ISNUMBER(H20),IF(H20&gt;=1,2,IF(H20&gt;=0.9,1,0)),0)+IF(ISNUMBER(J20),IF(J20&gt;=96,2,IF(J20&gt;=90,1,0)),0),"")</f>
        <v/>
      </c>
      <c r="M20" s="2" t="n"/>
      <c r="N20" s="2" t="n"/>
    </row>
    <row r="21" ht="25" customHeight="1">
      <c r="A21" s="11" t="n"/>
      <c r="B21" s="4" t="n"/>
      <c r="C21" s="4" t="n"/>
      <c r="D21" s="34" t="n"/>
      <c r="E21" s="27">
        <f>IF(ISNUMBER(D21),IF(D21&gt;=1,"A+",IF(D21&gt;=0.9,"A",IF(D21&gt;=0.8,"B",IF(D21&gt;=0.7,"C","D")))),"")</f>
        <v/>
      </c>
      <c r="F21" s="24" t="n"/>
      <c r="G21" s="35">
        <f>IF(ISNUMBER(F21),ROUND(F21/7,2),"")</f>
        <v/>
      </c>
      <c r="H21" s="35">
        <f>IF(AND(ISNUMBER(D21),ISNUMBER(G21)),ROUND((D21+G21)/2,2),"")</f>
        <v/>
      </c>
      <c r="I21" s="27">
        <f>IF(ISNUMBER(H21),IF(H21&gt;=1,"A+",IF(H21&gt;=0.9,"A",IF(H21&gt;=0.8,"B",IF(H21&gt;=0.7,"C","D")))),"")</f>
        <v/>
      </c>
      <c r="J21" s="24" t="n"/>
      <c r="K21" s="27">
        <f>IF(ISNUMBER(J21),IF(J21&gt;=96,"A+",IF(J21&gt;=90,"A",IF(J21&gt;=80,"B",IF(J21&gt;=70,"C","D")))),"")</f>
        <v/>
      </c>
      <c r="L21" s="25">
        <f>IF(OR(ISNUMBER(H21),ISNUMBER(J21)),IF(ISNUMBER(H21),IF(H21&gt;=1,2,IF(H21&gt;=0.9,1,0)),0)+IF(ISNUMBER(J21),IF(J21&gt;=96,2,IF(J21&gt;=90,1,0)),0),"")</f>
        <v/>
      </c>
      <c r="M21" s="2" t="n"/>
      <c r="N21" s="2" t="n"/>
    </row>
    <row r="22" ht="25" customHeight="1">
      <c r="A22" s="12" t="n"/>
      <c r="B22" s="6" t="n"/>
      <c r="C22" s="6" t="n"/>
      <c r="D22" s="34" t="n"/>
      <c r="E22" s="27">
        <f>IF(ISNUMBER(D22),IF(D22&gt;=1,"A+",IF(D22&gt;=0.9,"A",IF(D22&gt;=0.8,"B",IF(D22&gt;=0.7,"C","D")))),"")</f>
        <v/>
      </c>
      <c r="F22" s="24" t="n"/>
      <c r="G22" s="35">
        <f>IF(ISNUMBER(F22),ROUND(F22/7,2),"")</f>
        <v/>
      </c>
      <c r="H22" s="35">
        <f>IF(AND(ISNUMBER(D22),ISNUMBER(G22)),ROUND((D22+G22)/2,2),"")</f>
        <v/>
      </c>
      <c r="I22" s="27">
        <f>IF(ISNUMBER(H22),IF(H22&gt;=1,"A+",IF(H22&gt;=0.9,"A",IF(H22&gt;=0.8,"B",IF(H22&gt;=0.7,"C","D")))),"")</f>
        <v/>
      </c>
      <c r="J22" s="24" t="n"/>
      <c r="K22" s="27">
        <f>IF(ISNUMBER(J22),IF(J22&gt;=96,"A+",IF(J22&gt;=90,"A",IF(J22&gt;=80,"B",IF(J22&gt;=70,"C","D")))),"")</f>
        <v/>
      </c>
      <c r="L22" s="25">
        <f>IF(OR(ISNUMBER(H22),ISNUMBER(J22)),IF(ISNUMBER(H22),IF(H22&gt;=1,2,IF(H22&gt;=0.9,1,0)),0)+IF(ISNUMBER(J22),IF(J22&gt;=96,2,IF(J22&gt;=90,1,0)),0),"")</f>
        <v/>
      </c>
      <c r="M22" s="2" t="n"/>
      <c r="N22" s="2" t="n"/>
    </row>
    <row r="23" ht="25" customHeight="1">
      <c r="A23" s="11" t="n"/>
      <c r="B23" s="4" t="n"/>
      <c r="C23" s="4" t="n"/>
      <c r="D23" s="34" t="n"/>
      <c r="E23" s="27">
        <f>IF(ISNUMBER(D23),IF(D23&gt;=1,"A+",IF(D23&gt;=0.9,"A",IF(D23&gt;=0.8,"B",IF(D23&gt;=0.7,"C","D")))),"")</f>
        <v/>
      </c>
      <c r="F23" s="24" t="n"/>
      <c r="G23" s="35">
        <f>IF(ISNUMBER(F23),ROUND(F23/7,2),"")</f>
        <v/>
      </c>
      <c r="H23" s="35">
        <f>IF(AND(ISNUMBER(D23),ISNUMBER(G23)),ROUND((D23+G23)/2,2),"")</f>
        <v/>
      </c>
      <c r="I23" s="27">
        <f>IF(ISNUMBER(H23),IF(H23&gt;=1,"A+",IF(H23&gt;=0.9,"A",IF(H23&gt;=0.8,"B",IF(H23&gt;=0.7,"C","D")))),"")</f>
        <v/>
      </c>
      <c r="J23" s="24" t="n"/>
      <c r="K23" s="27">
        <f>IF(ISNUMBER(J23),IF(J23&gt;=96,"A+",IF(J23&gt;=90,"A",IF(J23&gt;=80,"B",IF(J23&gt;=70,"C","D")))),"")</f>
        <v/>
      </c>
      <c r="L23" s="25">
        <f>IF(OR(ISNUMBER(H23),ISNUMBER(J23)),IF(ISNUMBER(H23),IF(H23&gt;=1,2,IF(H23&gt;=0.9,1,0)),0)+IF(ISNUMBER(J23),IF(J23&gt;=96,2,IF(J23&gt;=90,1,0)),0),"")</f>
        <v/>
      </c>
      <c r="M23" s="2" t="n"/>
      <c r="N23" s="2" t="n"/>
    </row>
    <row r="24" ht="25" customHeight="1">
      <c r="A24" s="12" t="n"/>
      <c r="B24" s="6" t="n"/>
      <c r="C24" s="6" t="n"/>
      <c r="D24" s="34" t="n"/>
      <c r="E24" s="27">
        <f>IF(ISNUMBER(D24),IF(D24&gt;=1,"A+",IF(D24&gt;=0.9,"A",IF(D24&gt;=0.8,"B",IF(D24&gt;=0.7,"C","D")))),"")</f>
        <v/>
      </c>
      <c r="F24" s="24" t="n"/>
      <c r="G24" s="35">
        <f>IF(ISNUMBER(F24),ROUND(F24/7,2),"")</f>
        <v/>
      </c>
      <c r="H24" s="35">
        <f>IF(AND(ISNUMBER(D24),ISNUMBER(G24)),ROUND((D24+G24)/2,2),"")</f>
        <v/>
      </c>
      <c r="I24" s="27">
        <f>IF(ISNUMBER(H24),IF(H24&gt;=1,"A+",IF(H24&gt;=0.9,"A",IF(H24&gt;=0.8,"B",IF(H24&gt;=0.7,"C","D")))),"")</f>
        <v/>
      </c>
      <c r="J24" s="24" t="n"/>
      <c r="K24" s="27">
        <f>IF(ISNUMBER(J24),IF(J24&gt;=96,"A+",IF(J24&gt;=90,"A",IF(J24&gt;=80,"B",IF(J24&gt;=70,"C","D")))),"")</f>
        <v/>
      </c>
      <c r="L24" s="25">
        <f>IF(OR(ISNUMBER(H24),ISNUMBER(J24)),IF(ISNUMBER(H24),IF(H24&gt;=1,2,IF(H24&gt;=0.9,1,0)),0)+IF(ISNUMBER(J24),IF(J24&gt;=96,2,IF(J24&gt;=90,1,0)),0),"")</f>
        <v/>
      </c>
      <c r="M24" s="2" t="n"/>
      <c r="N24" s="2" t="n"/>
    </row>
    <row r="25" ht="25" customHeight="1">
      <c r="A25" s="11" t="n"/>
      <c r="B25" s="4" t="n"/>
      <c r="C25" s="4" t="n"/>
      <c r="D25" s="34" t="n"/>
      <c r="E25" s="27">
        <f>IF(ISNUMBER(D25),IF(D25&gt;=1,"A+",IF(D25&gt;=0.9,"A",IF(D25&gt;=0.8,"B",IF(D25&gt;=0.7,"C","D")))),"")</f>
        <v/>
      </c>
      <c r="F25" s="24" t="n"/>
      <c r="G25" s="35">
        <f>IF(ISNUMBER(F25),ROUND(F25/7,2),"")</f>
        <v/>
      </c>
      <c r="H25" s="35">
        <f>IF(AND(ISNUMBER(D25),ISNUMBER(G25)),ROUND((D25+G25)/2,2),"")</f>
        <v/>
      </c>
      <c r="I25" s="27">
        <f>IF(ISNUMBER(H25),IF(H25&gt;=1,"A+",IF(H25&gt;=0.9,"A",IF(H25&gt;=0.8,"B",IF(H25&gt;=0.7,"C","D")))),"")</f>
        <v/>
      </c>
      <c r="J25" s="24" t="n"/>
      <c r="K25" s="27">
        <f>IF(ISNUMBER(J25),IF(J25&gt;=96,"A+",IF(J25&gt;=90,"A",IF(J25&gt;=80,"B",IF(J25&gt;=70,"C","D")))),"")</f>
        <v/>
      </c>
      <c r="L25" s="25">
        <f>IF(OR(ISNUMBER(H25),ISNUMBER(J25)),IF(ISNUMBER(H25),IF(H25&gt;=1,2,IF(H25&gt;=0.9,1,0)),0)+IF(ISNUMBER(J25),IF(J25&gt;=96,2,IF(J25&gt;=90,1,0)),0),"")</f>
        <v/>
      </c>
      <c r="M25" s="2" t="n"/>
      <c r="N25" s="2" t="n"/>
    </row>
    <row r="26" ht="25" customHeight="1">
      <c r="A26" s="12" t="n"/>
      <c r="B26" s="6" t="n"/>
      <c r="C26" s="6" t="n"/>
      <c r="D26" s="34" t="n"/>
      <c r="E26" s="27">
        <f>IF(ISNUMBER(D26),IF(D26&gt;=1,"A+",IF(D26&gt;=0.9,"A",IF(D26&gt;=0.8,"B",IF(D26&gt;=0.7,"C","D")))),"")</f>
        <v/>
      </c>
      <c r="F26" s="24" t="n"/>
      <c r="G26" s="35">
        <f>IF(ISNUMBER(F26),ROUND(F26/7,2),"")</f>
        <v/>
      </c>
      <c r="H26" s="35">
        <f>IF(AND(ISNUMBER(D26),ISNUMBER(G26)),ROUND((D26+G26)/2,2),"")</f>
        <v/>
      </c>
      <c r="I26" s="27">
        <f>IF(ISNUMBER(H26),IF(H26&gt;=1,"A+",IF(H26&gt;=0.9,"A",IF(H26&gt;=0.8,"B",IF(H26&gt;=0.7,"C","D")))),"")</f>
        <v/>
      </c>
      <c r="J26" s="24" t="n"/>
      <c r="K26" s="27">
        <f>IF(ISNUMBER(J26),IF(J26&gt;=96,"A+",IF(J26&gt;=90,"A",IF(J26&gt;=80,"B",IF(J26&gt;=70,"C","D")))),"")</f>
        <v/>
      </c>
      <c r="L26" s="25">
        <f>IF(OR(ISNUMBER(H26),ISNUMBER(J26)),IF(ISNUMBER(H26),IF(H26&gt;=1,2,IF(H26&gt;=0.9,1,0)),0)+IF(ISNUMBER(J26),IF(J26&gt;=96,2,IF(J26&gt;=90,1,0)),0),"")</f>
        <v/>
      </c>
      <c r="M26" s="2" t="n"/>
      <c r="N26" s="2" t="n"/>
    </row>
    <row r="27" ht="25" customHeight="1">
      <c r="A27" s="11" t="n"/>
      <c r="B27" s="4" t="n"/>
      <c r="C27" s="4" t="n"/>
      <c r="D27" s="34" t="n"/>
      <c r="E27" s="27">
        <f>IF(ISNUMBER(D27),IF(D27&gt;=1,"A+",IF(D27&gt;=0.9,"A",IF(D27&gt;=0.8,"B",IF(D27&gt;=0.7,"C","D")))),"")</f>
        <v/>
      </c>
      <c r="F27" s="24" t="n"/>
      <c r="G27" s="35">
        <f>IF(ISNUMBER(F27),ROUND(F27/7,2),"")</f>
        <v/>
      </c>
      <c r="H27" s="35">
        <f>IF(AND(ISNUMBER(D27),ISNUMBER(G27)),ROUND((D27+G27)/2,2),"")</f>
        <v/>
      </c>
      <c r="I27" s="27">
        <f>IF(ISNUMBER(H27),IF(H27&gt;=1,"A+",IF(H27&gt;=0.9,"A",IF(H27&gt;=0.8,"B",IF(H27&gt;=0.7,"C","D")))),"")</f>
        <v/>
      </c>
      <c r="J27" s="24" t="n"/>
      <c r="K27" s="27">
        <f>IF(ISNUMBER(J27),IF(J27&gt;=96,"A+",IF(J27&gt;=90,"A",IF(J27&gt;=80,"B",IF(J27&gt;=70,"C","D")))),"")</f>
        <v/>
      </c>
      <c r="L27" s="25">
        <f>IF(OR(ISNUMBER(H27),ISNUMBER(J27)),IF(ISNUMBER(H27),IF(H27&gt;=1,2,IF(H27&gt;=0.9,1,0)),0)+IF(ISNUMBER(J27),IF(J27&gt;=96,2,IF(J27&gt;=90,1,0)),0),"")</f>
        <v/>
      </c>
      <c r="M27" s="2" t="n"/>
      <c r="N27" s="2" t="n"/>
    </row>
    <row r="28" ht="25" customHeight="1">
      <c r="A28" s="12" t="n"/>
      <c r="B28" s="6" t="n"/>
      <c r="C28" s="6" t="n"/>
      <c r="D28" s="34" t="n"/>
      <c r="E28" s="27">
        <f>IF(ISNUMBER(D28),IF(D28&gt;=1,"A+",IF(D28&gt;=0.9,"A",IF(D28&gt;=0.8,"B",IF(D28&gt;=0.7,"C","D")))),"")</f>
        <v/>
      </c>
      <c r="F28" s="24" t="n"/>
      <c r="G28" s="35">
        <f>IF(ISNUMBER(F28),ROUND(F28/7,2),"")</f>
        <v/>
      </c>
      <c r="H28" s="35">
        <f>IF(AND(ISNUMBER(D28),ISNUMBER(G28)),ROUND((D28+G28)/2,2),"")</f>
        <v/>
      </c>
      <c r="I28" s="27">
        <f>IF(ISNUMBER(H28),IF(H28&gt;=1,"A+",IF(H28&gt;=0.9,"A",IF(H28&gt;=0.8,"B",IF(H28&gt;=0.7,"C","D")))),"")</f>
        <v/>
      </c>
      <c r="J28" s="24" t="n"/>
      <c r="K28" s="27">
        <f>IF(ISNUMBER(J28),IF(J28&gt;=96,"A+",IF(J28&gt;=90,"A",IF(J28&gt;=80,"B",IF(J28&gt;=70,"C","D")))),"")</f>
        <v/>
      </c>
      <c r="L28" s="25">
        <f>IF(OR(ISNUMBER(H28),ISNUMBER(J28)),IF(ISNUMBER(H28),IF(H28&gt;=1,2,IF(H28&gt;=0.9,1,0)),0)+IF(ISNUMBER(J28),IF(J28&gt;=96,2,IF(J28&gt;=90,1,0)),0),"")</f>
        <v/>
      </c>
      <c r="M28" s="2" t="n"/>
      <c r="N28" s="2" t="n"/>
    </row>
    <row r="29" ht="25" customHeight="1">
      <c r="A29" s="11" t="n"/>
      <c r="B29" s="4" t="n"/>
      <c r="C29" s="4" t="n"/>
      <c r="D29" s="34" t="n"/>
      <c r="E29" s="27">
        <f>IF(ISNUMBER(D29),IF(D29&gt;=1,"A+",IF(D29&gt;=0.9,"A",IF(D29&gt;=0.8,"B",IF(D29&gt;=0.7,"C","D")))),"")</f>
        <v/>
      </c>
      <c r="F29" s="24" t="n"/>
      <c r="G29" s="35">
        <f>IF(ISNUMBER(F29),ROUND(F29/7,2),"")</f>
        <v/>
      </c>
      <c r="H29" s="35">
        <f>IF(AND(ISNUMBER(D29),ISNUMBER(G29)),ROUND((D29+G29)/2,2),"")</f>
        <v/>
      </c>
      <c r="I29" s="27">
        <f>IF(ISNUMBER(H29),IF(H29&gt;=1,"A+",IF(H29&gt;=0.9,"A",IF(H29&gt;=0.8,"B",IF(H29&gt;=0.7,"C","D")))),"")</f>
        <v/>
      </c>
      <c r="J29" s="24" t="n"/>
      <c r="K29" s="27">
        <f>IF(ISNUMBER(J29),IF(J29&gt;=96,"A+",IF(J29&gt;=90,"A",IF(J29&gt;=80,"B",IF(J29&gt;=70,"C","D")))),"")</f>
        <v/>
      </c>
      <c r="L29" s="25">
        <f>IF(OR(ISNUMBER(H29),ISNUMBER(J29)),IF(ISNUMBER(H29),IF(H29&gt;=1,2,IF(H29&gt;=0.9,1,0)),0)+IF(ISNUMBER(J29),IF(J29&gt;=96,2,IF(J29&gt;=90,1,0)),0),"")</f>
        <v/>
      </c>
      <c r="M29" s="2" t="n"/>
      <c r="N29" s="2" t="n"/>
    </row>
    <row r="30" ht="25" customHeight="1">
      <c r="A30" s="12" t="n"/>
      <c r="B30" s="6" t="n"/>
      <c r="C30" s="6" t="n"/>
      <c r="D30" s="34" t="n"/>
      <c r="E30" s="27">
        <f>IF(ISNUMBER(D30),IF(D30&gt;=1,"A+",IF(D30&gt;=0.9,"A",IF(D30&gt;=0.8,"B",IF(D30&gt;=0.7,"C","D")))),"")</f>
        <v/>
      </c>
      <c r="F30" s="24" t="n"/>
      <c r="G30" s="35">
        <f>IF(ISNUMBER(F30),ROUND(F30/7,2),"")</f>
        <v/>
      </c>
      <c r="H30" s="35">
        <f>IF(AND(ISNUMBER(D30),ISNUMBER(G30)),ROUND((D30+G30)/2,2),"")</f>
        <v/>
      </c>
      <c r="I30" s="27">
        <f>IF(ISNUMBER(H30),IF(H30&gt;=1,"A+",IF(H30&gt;=0.9,"A",IF(H30&gt;=0.8,"B",IF(H30&gt;=0.7,"C","D")))),"")</f>
        <v/>
      </c>
      <c r="J30" s="24" t="n"/>
      <c r="K30" s="27">
        <f>IF(ISNUMBER(J30),IF(J30&gt;=96,"A+",IF(J30&gt;=90,"A",IF(J30&gt;=80,"B",IF(J30&gt;=70,"C","D")))),"")</f>
        <v/>
      </c>
      <c r="L30" s="25">
        <f>IF(OR(ISNUMBER(H30),ISNUMBER(J30)),IF(ISNUMBER(H30),IF(H30&gt;=1,2,IF(H30&gt;=0.9,1,0)),0)+IF(ISNUMBER(J30),IF(J30&gt;=96,2,IF(J30&gt;=90,1,0)),0),"")</f>
        <v/>
      </c>
      <c r="M30" s="2" t="n"/>
      <c r="N30" s="2" t="n"/>
    </row>
    <row r="31">
      <c r="A31" s="32" t="inlineStr">
        <is>
          <t>班级情况</t>
        </is>
      </c>
      <c r="B31" s="32" t="inlineStr">
        <is>
          <t>黄色为填写项；完成度、打卡率、平均值以百分比显示。</t>
        </is>
      </c>
    </row>
    <row r="32" ht="30" customHeight="1">
      <c r="A32" s="33" t="inlineStr">
        <is>
          <t>平均值达到100%得2星、90%得1星；朗读分达到96得2星、90得1星。</t>
        </is>
      </c>
    </row>
  </sheetData>
  <autoFilter ref="A2:L30"/>
  <mergeCells count="3">
    <mergeCell ref="B31:L31"/>
    <mergeCell ref="A1:L1"/>
    <mergeCell ref="A32:L32"/>
  </mergeCell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N32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4" customWidth="1" min="4" max="4"/>
    <col width="9" customWidth="1" min="5" max="5"/>
    <col width="14" customWidth="1" min="6" max="6"/>
    <col width="14" customWidth="1" min="7" max="7"/>
    <col width="14" customWidth="1" min="8" max="8"/>
    <col width="9" customWidth="1" min="9" max="9"/>
    <col width="12" customWidth="1" min="10" max="10"/>
    <col width="9" customWidth="1" min="11" max="11"/>
    <col width="10" customWidth="1" min="12" max="12"/>
    <col width="12" customWidth="1" min="13" max="13"/>
    <col width="16" customWidth="1" min="14" max="14"/>
  </cols>
  <sheetData>
    <row r="1" ht="31" customHeight="1">
      <c r="A1" s="13" t="inlineStr">
        <is>
          <t>周习惯数据表</t>
        </is>
      </c>
      <c r="M1" s="16" t="inlineStr">
        <is>
          <t>课型</t>
        </is>
      </c>
      <c r="N1" s="18" t="inlineStr">
        <is>
          <t>四年级</t>
        </is>
      </c>
    </row>
    <row r="2" ht="42" customHeight="1">
      <c r="A2" s="10" t="inlineStr">
        <is>
          <t>序号</t>
        </is>
      </c>
      <c r="B2" s="10" t="inlineStr">
        <is>
          <t>中文名</t>
        </is>
      </c>
      <c r="C2" s="10" t="inlineStr">
        <is>
          <t>英文名</t>
        </is>
      </c>
      <c r="D2" s="10" t="inlineStr">
        <is>
          <t>作业完成度</t>
        </is>
      </c>
      <c r="E2" s="10" t="inlineStr">
        <is>
          <t>等级</t>
        </is>
      </c>
      <c r="F2" s="19" t="inlineStr">
        <is>
          <t>家长打卡天数</t>
        </is>
      </c>
      <c r="G2" s="19" t="inlineStr">
        <is>
          <t>家长打卡率</t>
        </is>
      </c>
      <c r="H2" s="10" t="inlineStr">
        <is>
          <t>两项平均值</t>
        </is>
      </c>
      <c r="I2" s="10" t="inlineStr">
        <is>
          <t>等级</t>
        </is>
      </c>
      <c r="J2" s="20" t="inlineStr">
        <is>
          <t>朗读分</t>
        </is>
      </c>
      <c r="K2" s="20" t="inlineStr">
        <is>
          <t>等级</t>
        </is>
      </c>
      <c r="L2" s="19" t="inlineStr">
        <is>
          <t>星币数</t>
        </is>
      </c>
      <c r="M2" s="16" t="inlineStr">
        <is>
          <t>时间段</t>
        </is>
      </c>
      <c r="N2" s="18" t="inlineStr">
        <is>
          <t>周日下午</t>
        </is>
      </c>
    </row>
    <row r="3" ht="25" customHeight="1">
      <c r="A3" s="11" t="n">
        <v>1</v>
      </c>
      <c r="B3" s="4" t="inlineStr">
        <is>
          <t>赵同学</t>
        </is>
      </c>
      <c r="C3" s="4" t="inlineStr">
        <is>
          <t>Tom</t>
        </is>
      </c>
      <c r="D3" s="34" t="n"/>
      <c r="E3" s="27">
        <f>IF(ISNUMBER(D3),IF(D3&gt;=1,"A+",IF(D3&gt;=0.9,"A",IF(D3&gt;=0.8,"B",IF(D3&gt;=0.7,"C","D")))),"")</f>
        <v/>
      </c>
      <c r="F3" s="24" t="n"/>
      <c r="G3" s="35">
        <f>IF(ISNUMBER(F3),ROUND(F3/7,2),"")</f>
        <v/>
      </c>
      <c r="H3" s="35">
        <f>IF(AND(ISNUMBER(D3),ISNUMBER(G3)),ROUND((D3+G3)/2,2),"")</f>
        <v/>
      </c>
      <c r="I3" s="27">
        <f>IF(ISNUMBER(H3),IF(H3&gt;=1,"A+",IF(H3&gt;=0.9,"A",IF(H3&gt;=0.8,"B",IF(H3&gt;=0.7,"C","D")))),"")</f>
        <v/>
      </c>
      <c r="J3" s="24" t="n"/>
      <c r="K3" s="27">
        <f>IF(ISNUMBER(J3),IF(J3&gt;=96,"A+",IF(J3&gt;=90,"A",IF(J3&gt;=80,"B",IF(J3&gt;=70,"C","D")))),"")</f>
        <v/>
      </c>
      <c r="L3" s="25">
        <f>IF(OR(ISNUMBER(H3),ISNUMBER(J3)),IF(ISNUMBER(H3),IF(H3&gt;=1,2,IF(H3&gt;=0.9,1,0)),0)+IF(ISNUMBER(J3),IF(J3&gt;=96,2,IF(J3&gt;=90,1,0)),0),"")</f>
        <v/>
      </c>
      <c r="M3" s="2" t="n"/>
      <c r="N3" s="2" t="n"/>
    </row>
    <row r="4" ht="25" customHeight="1">
      <c r="A4" s="12" t="n">
        <v>2</v>
      </c>
      <c r="B4" s="6" t="inlineStr">
        <is>
          <t>许同学</t>
        </is>
      </c>
      <c r="C4" s="6" t="inlineStr">
        <is>
          <t>Lucy</t>
        </is>
      </c>
      <c r="D4" s="34" t="n"/>
      <c r="E4" s="27">
        <f>IF(ISNUMBER(D4),IF(D4&gt;=1,"A+",IF(D4&gt;=0.9,"A",IF(D4&gt;=0.8,"B",IF(D4&gt;=0.7,"C","D")))),"")</f>
        <v/>
      </c>
      <c r="F4" s="24" t="n"/>
      <c r="G4" s="35">
        <f>IF(ISNUMBER(F4),ROUND(F4/7,2),"")</f>
        <v/>
      </c>
      <c r="H4" s="35">
        <f>IF(AND(ISNUMBER(D4),ISNUMBER(G4)),ROUND((D4+G4)/2,2),"")</f>
        <v/>
      </c>
      <c r="I4" s="27">
        <f>IF(ISNUMBER(H4),IF(H4&gt;=1,"A+",IF(H4&gt;=0.9,"A",IF(H4&gt;=0.8,"B",IF(H4&gt;=0.7,"C","D")))),"")</f>
        <v/>
      </c>
      <c r="J4" s="24" t="n"/>
      <c r="K4" s="27">
        <f>IF(ISNUMBER(J4),IF(J4&gt;=96,"A+",IF(J4&gt;=90,"A",IF(J4&gt;=80,"B",IF(J4&gt;=70,"C","D")))),"")</f>
        <v/>
      </c>
      <c r="L4" s="25">
        <f>IF(OR(ISNUMBER(H4),ISNUMBER(J4)),IF(ISNUMBER(H4),IF(H4&gt;=1,2,IF(H4&gt;=0.9,1,0)),0)+IF(ISNUMBER(J4),IF(J4&gt;=96,2,IF(J4&gt;=90,1,0)),0),"")</f>
        <v/>
      </c>
      <c r="M4" s="2" t="n"/>
      <c r="N4" s="2" t="n"/>
    </row>
    <row r="5" ht="25" customHeight="1">
      <c r="A5" s="11" t="n"/>
      <c r="B5" s="4" t="n"/>
      <c r="C5" s="4" t="n"/>
      <c r="D5" s="34" t="n"/>
      <c r="E5" s="27">
        <f>IF(ISNUMBER(D5),IF(D5&gt;=1,"A+",IF(D5&gt;=0.9,"A",IF(D5&gt;=0.8,"B",IF(D5&gt;=0.7,"C","D")))),"")</f>
        <v/>
      </c>
      <c r="F5" s="24" t="n"/>
      <c r="G5" s="35">
        <f>IF(ISNUMBER(F5),ROUND(F5/7,2),"")</f>
        <v/>
      </c>
      <c r="H5" s="35">
        <f>IF(AND(ISNUMBER(D5),ISNUMBER(G5)),ROUND((D5+G5)/2,2),"")</f>
        <v/>
      </c>
      <c r="I5" s="27">
        <f>IF(ISNUMBER(H5),IF(H5&gt;=1,"A+",IF(H5&gt;=0.9,"A",IF(H5&gt;=0.8,"B",IF(H5&gt;=0.7,"C","D")))),"")</f>
        <v/>
      </c>
      <c r="J5" s="24" t="n"/>
      <c r="K5" s="27">
        <f>IF(ISNUMBER(J5),IF(J5&gt;=96,"A+",IF(J5&gt;=90,"A",IF(J5&gt;=80,"B",IF(J5&gt;=70,"C","D")))),"")</f>
        <v/>
      </c>
      <c r="L5" s="25">
        <f>IF(OR(ISNUMBER(H5),ISNUMBER(J5)),IF(ISNUMBER(H5),IF(H5&gt;=1,2,IF(H5&gt;=0.9,1,0)),0)+IF(ISNUMBER(J5),IF(J5&gt;=96,2,IF(J5&gt;=90,1,0)),0),"")</f>
        <v/>
      </c>
      <c r="M5" s="2" t="n"/>
      <c r="N5" s="2" t="n"/>
    </row>
    <row r="6" ht="25" customHeight="1">
      <c r="A6" s="12" t="n"/>
      <c r="B6" s="6" t="n"/>
      <c r="C6" s="6" t="n"/>
      <c r="D6" s="34" t="n"/>
      <c r="E6" s="27">
        <f>IF(ISNUMBER(D6),IF(D6&gt;=1,"A+",IF(D6&gt;=0.9,"A",IF(D6&gt;=0.8,"B",IF(D6&gt;=0.7,"C","D")))),"")</f>
        <v/>
      </c>
      <c r="F6" s="24" t="n"/>
      <c r="G6" s="35">
        <f>IF(ISNUMBER(F6),ROUND(F6/7,2),"")</f>
        <v/>
      </c>
      <c r="H6" s="35">
        <f>IF(AND(ISNUMBER(D6),ISNUMBER(G6)),ROUND((D6+G6)/2,2),"")</f>
        <v/>
      </c>
      <c r="I6" s="27">
        <f>IF(ISNUMBER(H6),IF(H6&gt;=1,"A+",IF(H6&gt;=0.9,"A",IF(H6&gt;=0.8,"B",IF(H6&gt;=0.7,"C","D")))),"")</f>
        <v/>
      </c>
      <c r="J6" s="24" t="n"/>
      <c r="K6" s="27">
        <f>IF(ISNUMBER(J6),IF(J6&gt;=96,"A+",IF(J6&gt;=90,"A",IF(J6&gt;=80,"B",IF(J6&gt;=70,"C","D")))),"")</f>
        <v/>
      </c>
      <c r="L6" s="25">
        <f>IF(OR(ISNUMBER(H6),ISNUMBER(J6)),IF(ISNUMBER(H6),IF(H6&gt;=1,2,IF(H6&gt;=0.9,1,0)),0)+IF(ISNUMBER(J6),IF(J6&gt;=96,2,IF(J6&gt;=90,1,0)),0),"")</f>
        <v/>
      </c>
      <c r="M6" s="2" t="n"/>
      <c r="N6" s="2" t="n"/>
    </row>
    <row r="7" ht="25" customHeight="1">
      <c r="A7" s="11" t="n"/>
      <c r="B7" s="4" t="n"/>
      <c r="C7" s="4" t="n"/>
      <c r="D7" s="34" t="n"/>
      <c r="E7" s="27">
        <f>IF(ISNUMBER(D7),IF(D7&gt;=1,"A+",IF(D7&gt;=0.9,"A",IF(D7&gt;=0.8,"B",IF(D7&gt;=0.7,"C","D")))),"")</f>
        <v/>
      </c>
      <c r="F7" s="24" t="n"/>
      <c r="G7" s="35">
        <f>IF(ISNUMBER(F7),ROUND(F7/7,2),"")</f>
        <v/>
      </c>
      <c r="H7" s="35">
        <f>IF(AND(ISNUMBER(D7),ISNUMBER(G7)),ROUND((D7+G7)/2,2),"")</f>
        <v/>
      </c>
      <c r="I7" s="27">
        <f>IF(ISNUMBER(H7),IF(H7&gt;=1,"A+",IF(H7&gt;=0.9,"A",IF(H7&gt;=0.8,"B",IF(H7&gt;=0.7,"C","D")))),"")</f>
        <v/>
      </c>
      <c r="J7" s="24" t="n"/>
      <c r="K7" s="27">
        <f>IF(ISNUMBER(J7),IF(J7&gt;=96,"A+",IF(J7&gt;=90,"A",IF(J7&gt;=80,"B",IF(J7&gt;=70,"C","D")))),"")</f>
        <v/>
      </c>
      <c r="L7" s="25">
        <f>IF(OR(ISNUMBER(H7),ISNUMBER(J7)),IF(ISNUMBER(H7),IF(H7&gt;=1,2,IF(H7&gt;=0.9,1,0)),0)+IF(ISNUMBER(J7),IF(J7&gt;=96,2,IF(J7&gt;=90,1,0)),0),"")</f>
        <v/>
      </c>
      <c r="M7" s="2" t="n"/>
      <c r="N7" s="2" t="n"/>
    </row>
    <row r="8" ht="25" customHeight="1">
      <c r="A8" s="12" t="n"/>
      <c r="B8" s="6" t="n"/>
      <c r="C8" s="6" t="n"/>
      <c r="D8" s="34" t="n"/>
      <c r="E8" s="27">
        <f>IF(ISNUMBER(D8),IF(D8&gt;=1,"A+",IF(D8&gt;=0.9,"A",IF(D8&gt;=0.8,"B",IF(D8&gt;=0.7,"C","D")))),"")</f>
        <v/>
      </c>
      <c r="F8" s="24" t="n"/>
      <c r="G8" s="35">
        <f>IF(ISNUMBER(F8),ROUND(F8/7,2),"")</f>
        <v/>
      </c>
      <c r="H8" s="35">
        <f>IF(AND(ISNUMBER(D8),ISNUMBER(G8)),ROUND((D8+G8)/2,2),"")</f>
        <v/>
      </c>
      <c r="I8" s="27">
        <f>IF(ISNUMBER(H8),IF(H8&gt;=1,"A+",IF(H8&gt;=0.9,"A",IF(H8&gt;=0.8,"B",IF(H8&gt;=0.7,"C","D")))),"")</f>
        <v/>
      </c>
      <c r="J8" s="24" t="n"/>
      <c r="K8" s="27">
        <f>IF(ISNUMBER(J8),IF(J8&gt;=96,"A+",IF(J8&gt;=90,"A",IF(J8&gt;=80,"B",IF(J8&gt;=70,"C","D")))),"")</f>
        <v/>
      </c>
      <c r="L8" s="25">
        <f>IF(OR(ISNUMBER(H8),ISNUMBER(J8)),IF(ISNUMBER(H8),IF(H8&gt;=1,2,IF(H8&gt;=0.9,1,0)),0)+IF(ISNUMBER(J8),IF(J8&gt;=96,2,IF(J8&gt;=90,1,0)),0),"")</f>
        <v/>
      </c>
      <c r="M8" s="2" t="n"/>
      <c r="N8" s="2" t="n"/>
    </row>
    <row r="9" ht="25" customHeight="1">
      <c r="A9" s="11" t="n"/>
      <c r="B9" s="4" t="n"/>
      <c r="C9" s="4" t="n"/>
      <c r="D9" s="34" t="n"/>
      <c r="E9" s="27">
        <f>IF(ISNUMBER(D9),IF(D9&gt;=1,"A+",IF(D9&gt;=0.9,"A",IF(D9&gt;=0.8,"B",IF(D9&gt;=0.7,"C","D")))),"")</f>
        <v/>
      </c>
      <c r="F9" s="24" t="n"/>
      <c r="G9" s="35">
        <f>IF(ISNUMBER(F9),ROUND(F9/7,2),"")</f>
        <v/>
      </c>
      <c r="H9" s="35">
        <f>IF(AND(ISNUMBER(D9),ISNUMBER(G9)),ROUND((D9+G9)/2,2),"")</f>
        <v/>
      </c>
      <c r="I9" s="27">
        <f>IF(ISNUMBER(H9),IF(H9&gt;=1,"A+",IF(H9&gt;=0.9,"A",IF(H9&gt;=0.8,"B",IF(H9&gt;=0.7,"C","D")))),"")</f>
        <v/>
      </c>
      <c r="J9" s="24" t="n"/>
      <c r="K9" s="27">
        <f>IF(ISNUMBER(J9),IF(J9&gt;=96,"A+",IF(J9&gt;=90,"A",IF(J9&gt;=80,"B",IF(J9&gt;=70,"C","D")))),"")</f>
        <v/>
      </c>
      <c r="L9" s="25">
        <f>IF(OR(ISNUMBER(H9),ISNUMBER(J9)),IF(ISNUMBER(H9),IF(H9&gt;=1,2,IF(H9&gt;=0.9,1,0)),0)+IF(ISNUMBER(J9),IF(J9&gt;=96,2,IF(J9&gt;=90,1,0)),0),"")</f>
        <v/>
      </c>
      <c r="M9" s="2" t="n"/>
      <c r="N9" s="2" t="n"/>
    </row>
    <row r="10" ht="25" customHeight="1">
      <c r="A10" s="12" t="n"/>
      <c r="B10" s="6" t="n"/>
      <c r="C10" s="6" t="n"/>
      <c r="D10" s="34" t="n"/>
      <c r="E10" s="27">
        <f>IF(ISNUMBER(D10),IF(D10&gt;=1,"A+",IF(D10&gt;=0.9,"A",IF(D10&gt;=0.8,"B",IF(D10&gt;=0.7,"C","D")))),"")</f>
        <v/>
      </c>
      <c r="F10" s="24" t="n"/>
      <c r="G10" s="35">
        <f>IF(ISNUMBER(F10),ROUND(F10/7,2),"")</f>
        <v/>
      </c>
      <c r="H10" s="35">
        <f>IF(AND(ISNUMBER(D10),ISNUMBER(G10)),ROUND((D10+G10)/2,2),"")</f>
        <v/>
      </c>
      <c r="I10" s="27">
        <f>IF(ISNUMBER(H10),IF(H10&gt;=1,"A+",IF(H10&gt;=0.9,"A",IF(H10&gt;=0.8,"B",IF(H10&gt;=0.7,"C","D")))),"")</f>
        <v/>
      </c>
      <c r="J10" s="24" t="n"/>
      <c r="K10" s="27">
        <f>IF(ISNUMBER(J10),IF(J10&gt;=96,"A+",IF(J10&gt;=90,"A",IF(J10&gt;=80,"B",IF(J10&gt;=70,"C","D")))),"")</f>
        <v/>
      </c>
      <c r="L10" s="25">
        <f>IF(OR(ISNUMBER(H10),ISNUMBER(J10)),IF(ISNUMBER(H10),IF(H10&gt;=1,2,IF(H10&gt;=0.9,1,0)),0)+IF(ISNUMBER(J10),IF(J10&gt;=96,2,IF(J10&gt;=90,1,0)),0),"")</f>
        <v/>
      </c>
      <c r="M10" s="2" t="n"/>
      <c r="N10" s="2" t="n"/>
    </row>
    <row r="11" ht="25" customHeight="1">
      <c r="A11" s="11" t="n"/>
      <c r="B11" s="4" t="n"/>
      <c r="C11" s="4" t="n"/>
      <c r="D11" s="34" t="n"/>
      <c r="E11" s="27">
        <f>IF(ISNUMBER(D11),IF(D11&gt;=1,"A+",IF(D11&gt;=0.9,"A",IF(D11&gt;=0.8,"B",IF(D11&gt;=0.7,"C","D")))),"")</f>
        <v/>
      </c>
      <c r="F11" s="24" t="n"/>
      <c r="G11" s="35">
        <f>IF(ISNUMBER(F11),ROUND(F11/7,2),"")</f>
        <v/>
      </c>
      <c r="H11" s="35">
        <f>IF(AND(ISNUMBER(D11),ISNUMBER(G11)),ROUND((D11+G11)/2,2),"")</f>
        <v/>
      </c>
      <c r="I11" s="27">
        <f>IF(ISNUMBER(H11),IF(H11&gt;=1,"A+",IF(H11&gt;=0.9,"A",IF(H11&gt;=0.8,"B",IF(H11&gt;=0.7,"C","D")))),"")</f>
        <v/>
      </c>
      <c r="J11" s="24" t="n"/>
      <c r="K11" s="27">
        <f>IF(ISNUMBER(J11),IF(J11&gt;=96,"A+",IF(J11&gt;=90,"A",IF(J11&gt;=80,"B",IF(J11&gt;=70,"C","D")))),"")</f>
        <v/>
      </c>
      <c r="L11" s="25">
        <f>IF(OR(ISNUMBER(H11),ISNUMBER(J11)),IF(ISNUMBER(H11),IF(H11&gt;=1,2,IF(H11&gt;=0.9,1,0)),0)+IF(ISNUMBER(J11),IF(J11&gt;=96,2,IF(J11&gt;=90,1,0)),0),"")</f>
        <v/>
      </c>
      <c r="M11" s="2" t="n"/>
      <c r="N11" s="2" t="n"/>
    </row>
    <row r="12" ht="25" customHeight="1">
      <c r="A12" s="12" t="n"/>
      <c r="B12" s="6" t="n"/>
      <c r="C12" s="6" t="n"/>
      <c r="D12" s="34" t="n"/>
      <c r="E12" s="27">
        <f>IF(ISNUMBER(D12),IF(D12&gt;=1,"A+",IF(D12&gt;=0.9,"A",IF(D12&gt;=0.8,"B",IF(D12&gt;=0.7,"C","D")))),"")</f>
        <v/>
      </c>
      <c r="F12" s="24" t="n"/>
      <c r="G12" s="35">
        <f>IF(ISNUMBER(F12),ROUND(F12/7,2),"")</f>
        <v/>
      </c>
      <c r="H12" s="35">
        <f>IF(AND(ISNUMBER(D12),ISNUMBER(G12)),ROUND((D12+G12)/2,2),"")</f>
        <v/>
      </c>
      <c r="I12" s="27">
        <f>IF(ISNUMBER(H12),IF(H12&gt;=1,"A+",IF(H12&gt;=0.9,"A",IF(H12&gt;=0.8,"B",IF(H12&gt;=0.7,"C","D")))),"")</f>
        <v/>
      </c>
      <c r="J12" s="24" t="n"/>
      <c r="K12" s="27">
        <f>IF(ISNUMBER(J12),IF(J12&gt;=96,"A+",IF(J12&gt;=90,"A",IF(J12&gt;=80,"B",IF(J12&gt;=70,"C","D")))),"")</f>
        <v/>
      </c>
      <c r="L12" s="25">
        <f>IF(OR(ISNUMBER(H12),ISNUMBER(J12)),IF(ISNUMBER(H12),IF(H12&gt;=1,2,IF(H12&gt;=0.9,1,0)),0)+IF(ISNUMBER(J12),IF(J12&gt;=96,2,IF(J12&gt;=90,1,0)),0),"")</f>
        <v/>
      </c>
      <c r="M12" s="2" t="n"/>
      <c r="N12" s="2" t="n"/>
    </row>
    <row r="13" ht="25" customHeight="1">
      <c r="A13" s="11" t="n"/>
      <c r="B13" s="4" t="n"/>
      <c r="C13" s="4" t="n"/>
      <c r="D13" s="34" t="n"/>
      <c r="E13" s="27">
        <f>IF(ISNUMBER(D13),IF(D13&gt;=1,"A+",IF(D13&gt;=0.9,"A",IF(D13&gt;=0.8,"B",IF(D13&gt;=0.7,"C","D")))),"")</f>
        <v/>
      </c>
      <c r="F13" s="24" t="n"/>
      <c r="G13" s="35">
        <f>IF(ISNUMBER(F13),ROUND(F13/7,2),"")</f>
        <v/>
      </c>
      <c r="H13" s="35">
        <f>IF(AND(ISNUMBER(D13),ISNUMBER(G13)),ROUND((D13+G13)/2,2),"")</f>
        <v/>
      </c>
      <c r="I13" s="27">
        <f>IF(ISNUMBER(H13),IF(H13&gt;=1,"A+",IF(H13&gt;=0.9,"A",IF(H13&gt;=0.8,"B",IF(H13&gt;=0.7,"C","D")))),"")</f>
        <v/>
      </c>
      <c r="J13" s="24" t="n"/>
      <c r="K13" s="27">
        <f>IF(ISNUMBER(J13),IF(J13&gt;=96,"A+",IF(J13&gt;=90,"A",IF(J13&gt;=80,"B",IF(J13&gt;=70,"C","D")))),"")</f>
        <v/>
      </c>
      <c r="L13" s="25">
        <f>IF(OR(ISNUMBER(H13),ISNUMBER(J13)),IF(ISNUMBER(H13),IF(H13&gt;=1,2,IF(H13&gt;=0.9,1,0)),0)+IF(ISNUMBER(J13),IF(J13&gt;=96,2,IF(J13&gt;=90,1,0)),0),"")</f>
        <v/>
      </c>
      <c r="M13" s="2" t="n"/>
      <c r="N13" s="2" t="n"/>
    </row>
    <row r="14" ht="25" customHeight="1">
      <c r="A14" s="12" t="n"/>
      <c r="B14" s="6" t="n"/>
      <c r="C14" s="6" t="n"/>
      <c r="D14" s="34" t="n"/>
      <c r="E14" s="27">
        <f>IF(ISNUMBER(D14),IF(D14&gt;=1,"A+",IF(D14&gt;=0.9,"A",IF(D14&gt;=0.8,"B",IF(D14&gt;=0.7,"C","D")))),"")</f>
        <v/>
      </c>
      <c r="F14" s="24" t="n"/>
      <c r="G14" s="35">
        <f>IF(ISNUMBER(F14),ROUND(F14/7,2),"")</f>
        <v/>
      </c>
      <c r="H14" s="35">
        <f>IF(AND(ISNUMBER(D14),ISNUMBER(G14)),ROUND((D14+G14)/2,2),"")</f>
        <v/>
      </c>
      <c r="I14" s="27">
        <f>IF(ISNUMBER(H14),IF(H14&gt;=1,"A+",IF(H14&gt;=0.9,"A",IF(H14&gt;=0.8,"B",IF(H14&gt;=0.7,"C","D")))),"")</f>
        <v/>
      </c>
      <c r="J14" s="24" t="n"/>
      <c r="K14" s="27">
        <f>IF(ISNUMBER(J14),IF(J14&gt;=96,"A+",IF(J14&gt;=90,"A",IF(J14&gt;=80,"B",IF(J14&gt;=70,"C","D")))),"")</f>
        <v/>
      </c>
      <c r="L14" s="25">
        <f>IF(OR(ISNUMBER(H14),ISNUMBER(J14)),IF(ISNUMBER(H14),IF(H14&gt;=1,2,IF(H14&gt;=0.9,1,0)),0)+IF(ISNUMBER(J14),IF(J14&gt;=96,2,IF(J14&gt;=90,1,0)),0),"")</f>
        <v/>
      </c>
      <c r="M14" s="2" t="n"/>
      <c r="N14" s="2" t="n"/>
    </row>
    <row r="15" ht="25" customHeight="1">
      <c r="A15" s="11" t="n"/>
      <c r="B15" s="4" t="n"/>
      <c r="C15" s="4" t="n"/>
      <c r="D15" s="34" t="n"/>
      <c r="E15" s="27">
        <f>IF(ISNUMBER(D15),IF(D15&gt;=1,"A+",IF(D15&gt;=0.9,"A",IF(D15&gt;=0.8,"B",IF(D15&gt;=0.7,"C","D")))),"")</f>
        <v/>
      </c>
      <c r="F15" s="24" t="n"/>
      <c r="G15" s="35">
        <f>IF(ISNUMBER(F15),ROUND(F15/7,2),"")</f>
        <v/>
      </c>
      <c r="H15" s="35">
        <f>IF(AND(ISNUMBER(D15),ISNUMBER(G15)),ROUND((D15+G15)/2,2),"")</f>
        <v/>
      </c>
      <c r="I15" s="27">
        <f>IF(ISNUMBER(H15),IF(H15&gt;=1,"A+",IF(H15&gt;=0.9,"A",IF(H15&gt;=0.8,"B",IF(H15&gt;=0.7,"C","D")))),"")</f>
        <v/>
      </c>
      <c r="J15" s="24" t="n"/>
      <c r="K15" s="27">
        <f>IF(ISNUMBER(J15),IF(J15&gt;=96,"A+",IF(J15&gt;=90,"A",IF(J15&gt;=80,"B",IF(J15&gt;=70,"C","D")))),"")</f>
        <v/>
      </c>
      <c r="L15" s="25">
        <f>IF(OR(ISNUMBER(H15),ISNUMBER(J15)),IF(ISNUMBER(H15),IF(H15&gt;=1,2,IF(H15&gt;=0.9,1,0)),0)+IF(ISNUMBER(J15),IF(J15&gt;=96,2,IF(J15&gt;=90,1,0)),0),"")</f>
        <v/>
      </c>
      <c r="M15" s="2" t="n"/>
      <c r="N15" s="2" t="n"/>
    </row>
    <row r="16" ht="25" customHeight="1">
      <c r="A16" s="12" t="n"/>
      <c r="B16" s="6" t="n"/>
      <c r="C16" s="6" t="n"/>
      <c r="D16" s="34" t="n"/>
      <c r="E16" s="27">
        <f>IF(ISNUMBER(D16),IF(D16&gt;=1,"A+",IF(D16&gt;=0.9,"A",IF(D16&gt;=0.8,"B",IF(D16&gt;=0.7,"C","D")))),"")</f>
        <v/>
      </c>
      <c r="F16" s="24" t="n"/>
      <c r="G16" s="35">
        <f>IF(ISNUMBER(F16),ROUND(F16/7,2),"")</f>
        <v/>
      </c>
      <c r="H16" s="35">
        <f>IF(AND(ISNUMBER(D16),ISNUMBER(G16)),ROUND((D16+G16)/2,2),"")</f>
        <v/>
      </c>
      <c r="I16" s="27">
        <f>IF(ISNUMBER(H16),IF(H16&gt;=1,"A+",IF(H16&gt;=0.9,"A",IF(H16&gt;=0.8,"B",IF(H16&gt;=0.7,"C","D")))),"")</f>
        <v/>
      </c>
      <c r="J16" s="24" t="n"/>
      <c r="K16" s="27">
        <f>IF(ISNUMBER(J16),IF(J16&gt;=96,"A+",IF(J16&gt;=90,"A",IF(J16&gt;=80,"B",IF(J16&gt;=70,"C","D")))),"")</f>
        <v/>
      </c>
      <c r="L16" s="25">
        <f>IF(OR(ISNUMBER(H16),ISNUMBER(J16)),IF(ISNUMBER(H16),IF(H16&gt;=1,2,IF(H16&gt;=0.9,1,0)),0)+IF(ISNUMBER(J16),IF(J16&gt;=96,2,IF(J16&gt;=90,1,0)),0),"")</f>
        <v/>
      </c>
      <c r="M16" s="2" t="n"/>
      <c r="N16" s="2" t="n"/>
    </row>
    <row r="17" ht="25" customHeight="1">
      <c r="A17" s="11" t="n"/>
      <c r="B17" s="4" t="n"/>
      <c r="C17" s="4" t="n"/>
      <c r="D17" s="34" t="n"/>
      <c r="E17" s="27">
        <f>IF(ISNUMBER(D17),IF(D17&gt;=1,"A+",IF(D17&gt;=0.9,"A",IF(D17&gt;=0.8,"B",IF(D17&gt;=0.7,"C","D")))),"")</f>
        <v/>
      </c>
      <c r="F17" s="24" t="n"/>
      <c r="G17" s="35">
        <f>IF(ISNUMBER(F17),ROUND(F17/7,2),"")</f>
        <v/>
      </c>
      <c r="H17" s="35">
        <f>IF(AND(ISNUMBER(D17),ISNUMBER(G17)),ROUND((D17+G17)/2,2),"")</f>
        <v/>
      </c>
      <c r="I17" s="27">
        <f>IF(ISNUMBER(H17),IF(H17&gt;=1,"A+",IF(H17&gt;=0.9,"A",IF(H17&gt;=0.8,"B",IF(H17&gt;=0.7,"C","D")))),"")</f>
        <v/>
      </c>
      <c r="J17" s="24" t="n"/>
      <c r="K17" s="27">
        <f>IF(ISNUMBER(J17),IF(J17&gt;=96,"A+",IF(J17&gt;=90,"A",IF(J17&gt;=80,"B",IF(J17&gt;=70,"C","D")))),"")</f>
        <v/>
      </c>
      <c r="L17" s="25">
        <f>IF(OR(ISNUMBER(H17),ISNUMBER(J17)),IF(ISNUMBER(H17),IF(H17&gt;=1,2,IF(H17&gt;=0.9,1,0)),0)+IF(ISNUMBER(J17),IF(J17&gt;=96,2,IF(J17&gt;=90,1,0)),0),"")</f>
        <v/>
      </c>
      <c r="M17" s="2" t="n"/>
      <c r="N17" s="2" t="n"/>
    </row>
    <row r="18" ht="25" customHeight="1">
      <c r="A18" s="12" t="n"/>
      <c r="B18" s="6" t="n"/>
      <c r="C18" s="6" t="n"/>
      <c r="D18" s="34" t="n"/>
      <c r="E18" s="27">
        <f>IF(ISNUMBER(D18),IF(D18&gt;=1,"A+",IF(D18&gt;=0.9,"A",IF(D18&gt;=0.8,"B",IF(D18&gt;=0.7,"C","D")))),"")</f>
        <v/>
      </c>
      <c r="F18" s="24" t="n"/>
      <c r="G18" s="35">
        <f>IF(ISNUMBER(F18),ROUND(F18/7,2),"")</f>
        <v/>
      </c>
      <c r="H18" s="35">
        <f>IF(AND(ISNUMBER(D18),ISNUMBER(G18)),ROUND((D18+G18)/2,2),"")</f>
        <v/>
      </c>
      <c r="I18" s="27">
        <f>IF(ISNUMBER(H18),IF(H18&gt;=1,"A+",IF(H18&gt;=0.9,"A",IF(H18&gt;=0.8,"B",IF(H18&gt;=0.7,"C","D")))),"")</f>
        <v/>
      </c>
      <c r="J18" s="24" t="n"/>
      <c r="K18" s="27">
        <f>IF(ISNUMBER(J18),IF(J18&gt;=96,"A+",IF(J18&gt;=90,"A",IF(J18&gt;=80,"B",IF(J18&gt;=70,"C","D")))),"")</f>
        <v/>
      </c>
      <c r="L18" s="25">
        <f>IF(OR(ISNUMBER(H18),ISNUMBER(J18)),IF(ISNUMBER(H18),IF(H18&gt;=1,2,IF(H18&gt;=0.9,1,0)),0)+IF(ISNUMBER(J18),IF(J18&gt;=96,2,IF(J18&gt;=90,1,0)),0),"")</f>
        <v/>
      </c>
      <c r="M18" s="2" t="n"/>
      <c r="N18" s="2" t="n"/>
    </row>
    <row r="19" ht="25" customHeight="1">
      <c r="A19" s="11" t="n"/>
      <c r="B19" s="4" t="n"/>
      <c r="C19" s="4" t="n"/>
      <c r="D19" s="34" t="n"/>
      <c r="E19" s="27">
        <f>IF(ISNUMBER(D19),IF(D19&gt;=1,"A+",IF(D19&gt;=0.9,"A",IF(D19&gt;=0.8,"B",IF(D19&gt;=0.7,"C","D")))),"")</f>
        <v/>
      </c>
      <c r="F19" s="24" t="n"/>
      <c r="G19" s="35">
        <f>IF(ISNUMBER(F19),ROUND(F19/7,2),"")</f>
        <v/>
      </c>
      <c r="H19" s="35">
        <f>IF(AND(ISNUMBER(D19),ISNUMBER(G19)),ROUND((D19+G19)/2,2),"")</f>
        <v/>
      </c>
      <c r="I19" s="27">
        <f>IF(ISNUMBER(H19),IF(H19&gt;=1,"A+",IF(H19&gt;=0.9,"A",IF(H19&gt;=0.8,"B",IF(H19&gt;=0.7,"C","D")))),"")</f>
        <v/>
      </c>
      <c r="J19" s="24" t="n"/>
      <c r="K19" s="27">
        <f>IF(ISNUMBER(J19),IF(J19&gt;=96,"A+",IF(J19&gt;=90,"A",IF(J19&gt;=80,"B",IF(J19&gt;=70,"C","D")))),"")</f>
        <v/>
      </c>
      <c r="L19" s="25">
        <f>IF(OR(ISNUMBER(H19),ISNUMBER(J19)),IF(ISNUMBER(H19),IF(H19&gt;=1,2,IF(H19&gt;=0.9,1,0)),0)+IF(ISNUMBER(J19),IF(J19&gt;=96,2,IF(J19&gt;=90,1,0)),0),"")</f>
        <v/>
      </c>
      <c r="M19" s="2" t="n"/>
      <c r="N19" s="2" t="n"/>
    </row>
    <row r="20" ht="25" customHeight="1">
      <c r="A20" s="12" t="n"/>
      <c r="B20" s="6" t="n"/>
      <c r="C20" s="6" t="n"/>
      <c r="D20" s="34" t="n"/>
      <c r="E20" s="27">
        <f>IF(ISNUMBER(D20),IF(D20&gt;=1,"A+",IF(D20&gt;=0.9,"A",IF(D20&gt;=0.8,"B",IF(D20&gt;=0.7,"C","D")))),"")</f>
        <v/>
      </c>
      <c r="F20" s="24" t="n"/>
      <c r="G20" s="35">
        <f>IF(ISNUMBER(F20),ROUND(F20/7,2),"")</f>
        <v/>
      </c>
      <c r="H20" s="35">
        <f>IF(AND(ISNUMBER(D20),ISNUMBER(G20)),ROUND((D20+G20)/2,2),"")</f>
        <v/>
      </c>
      <c r="I20" s="27">
        <f>IF(ISNUMBER(H20),IF(H20&gt;=1,"A+",IF(H20&gt;=0.9,"A",IF(H20&gt;=0.8,"B",IF(H20&gt;=0.7,"C","D")))),"")</f>
        <v/>
      </c>
      <c r="J20" s="24" t="n"/>
      <c r="K20" s="27">
        <f>IF(ISNUMBER(J20),IF(J20&gt;=96,"A+",IF(J20&gt;=90,"A",IF(J20&gt;=80,"B",IF(J20&gt;=70,"C","D")))),"")</f>
        <v/>
      </c>
      <c r="L20" s="25">
        <f>IF(OR(ISNUMBER(H20),ISNUMBER(J20)),IF(ISNUMBER(H20),IF(H20&gt;=1,2,IF(H20&gt;=0.9,1,0)),0)+IF(ISNUMBER(J20),IF(J20&gt;=96,2,IF(J20&gt;=90,1,0)),0),"")</f>
        <v/>
      </c>
      <c r="M20" s="2" t="n"/>
      <c r="N20" s="2" t="n"/>
    </row>
    <row r="21" ht="25" customHeight="1">
      <c r="A21" s="11" t="n"/>
      <c r="B21" s="4" t="n"/>
      <c r="C21" s="4" t="n"/>
      <c r="D21" s="34" t="n"/>
      <c r="E21" s="27">
        <f>IF(ISNUMBER(D21),IF(D21&gt;=1,"A+",IF(D21&gt;=0.9,"A",IF(D21&gt;=0.8,"B",IF(D21&gt;=0.7,"C","D")))),"")</f>
        <v/>
      </c>
      <c r="F21" s="24" t="n"/>
      <c r="G21" s="35">
        <f>IF(ISNUMBER(F21),ROUND(F21/7,2),"")</f>
        <v/>
      </c>
      <c r="H21" s="35">
        <f>IF(AND(ISNUMBER(D21),ISNUMBER(G21)),ROUND((D21+G21)/2,2),"")</f>
        <v/>
      </c>
      <c r="I21" s="27">
        <f>IF(ISNUMBER(H21),IF(H21&gt;=1,"A+",IF(H21&gt;=0.9,"A",IF(H21&gt;=0.8,"B",IF(H21&gt;=0.7,"C","D")))),"")</f>
        <v/>
      </c>
      <c r="J21" s="24" t="n"/>
      <c r="K21" s="27">
        <f>IF(ISNUMBER(J21),IF(J21&gt;=96,"A+",IF(J21&gt;=90,"A",IF(J21&gt;=80,"B",IF(J21&gt;=70,"C","D")))),"")</f>
        <v/>
      </c>
      <c r="L21" s="25">
        <f>IF(OR(ISNUMBER(H21),ISNUMBER(J21)),IF(ISNUMBER(H21),IF(H21&gt;=1,2,IF(H21&gt;=0.9,1,0)),0)+IF(ISNUMBER(J21),IF(J21&gt;=96,2,IF(J21&gt;=90,1,0)),0),"")</f>
        <v/>
      </c>
      <c r="M21" s="2" t="n"/>
      <c r="N21" s="2" t="n"/>
    </row>
    <row r="22" ht="25" customHeight="1">
      <c r="A22" s="12" t="n"/>
      <c r="B22" s="6" t="n"/>
      <c r="C22" s="6" t="n"/>
      <c r="D22" s="34" t="n"/>
      <c r="E22" s="27">
        <f>IF(ISNUMBER(D22),IF(D22&gt;=1,"A+",IF(D22&gt;=0.9,"A",IF(D22&gt;=0.8,"B",IF(D22&gt;=0.7,"C","D")))),"")</f>
        <v/>
      </c>
      <c r="F22" s="24" t="n"/>
      <c r="G22" s="35">
        <f>IF(ISNUMBER(F22),ROUND(F22/7,2),"")</f>
        <v/>
      </c>
      <c r="H22" s="35">
        <f>IF(AND(ISNUMBER(D22),ISNUMBER(G22)),ROUND((D22+G22)/2,2),"")</f>
        <v/>
      </c>
      <c r="I22" s="27">
        <f>IF(ISNUMBER(H22),IF(H22&gt;=1,"A+",IF(H22&gt;=0.9,"A",IF(H22&gt;=0.8,"B",IF(H22&gt;=0.7,"C","D")))),"")</f>
        <v/>
      </c>
      <c r="J22" s="24" t="n"/>
      <c r="K22" s="27">
        <f>IF(ISNUMBER(J22),IF(J22&gt;=96,"A+",IF(J22&gt;=90,"A",IF(J22&gt;=80,"B",IF(J22&gt;=70,"C","D")))),"")</f>
        <v/>
      </c>
      <c r="L22" s="25">
        <f>IF(OR(ISNUMBER(H22),ISNUMBER(J22)),IF(ISNUMBER(H22),IF(H22&gt;=1,2,IF(H22&gt;=0.9,1,0)),0)+IF(ISNUMBER(J22),IF(J22&gt;=96,2,IF(J22&gt;=90,1,0)),0),"")</f>
        <v/>
      </c>
      <c r="M22" s="2" t="n"/>
      <c r="N22" s="2" t="n"/>
    </row>
    <row r="23" ht="25" customHeight="1">
      <c r="A23" s="11" t="n"/>
      <c r="B23" s="4" t="n"/>
      <c r="C23" s="4" t="n"/>
      <c r="D23" s="34" t="n"/>
      <c r="E23" s="27">
        <f>IF(ISNUMBER(D23),IF(D23&gt;=1,"A+",IF(D23&gt;=0.9,"A",IF(D23&gt;=0.8,"B",IF(D23&gt;=0.7,"C","D")))),"")</f>
        <v/>
      </c>
      <c r="F23" s="24" t="n"/>
      <c r="G23" s="35">
        <f>IF(ISNUMBER(F23),ROUND(F23/7,2),"")</f>
        <v/>
      </c>
      <c r="H23" s="35">
        <f>IF(AND(ISNUMBER(D23),ISNUMBER(G23)),ROUND((D23+G23)/2,2),"")</f>
        <v/>
      </c>
      <c r="I23" s="27">
        <f>IF(ISNUMBER(H23),IF(H23&gt;=1,"A+",IF(H23&gt;=0.9,"A",IF(H23&gt;=0.8,"B",IF(H23&gt;=0.7,"C","D")))),"")</f>
        <v/>
      </c>
      <c r="J23" s="24" t="n"/>
      <c r="K23" s="27">
        <f>IF(ISNUMBER(J23),IF(J23&gt;=96,"A+",IF(J23&gt;=90,"A",IF(J23&gt;=80,"B",IF(J23&gt;=70,"C","D")))),"")</f>
        <v/>
      </c>
      <c r="L23" s="25">
        <f>IF(OR(ISNUMBER(H23),ISNUMBER(J23)),IF(ISNUMBER(H23),IF(H23&gt;=1,2,IF(H23&gt;=0.9,1,0)),0)+IF(ISNUMBER(J23),IF(J23&gt;=96,2,IF(J23&gt;=90,1,0)),0),"")</f>
        <v/>
      </c>
      <c r="M23" s="2" t="n"/>
      <c r="N23" s="2" t="n"/>
    </row>
    <row r="24" ht="25" customHeight="1">
      <c r="A24" s="12" t="n"/>
      <c r="B24" s="6" t="n"/>
      <c r="C24" s="6" t="n"/>
      <c r="D24" s="34" t="n"/>
      <c r="E24" s="27">
        <f>IF(ISNUMBER(D24),IF(D24&gt;=1,"A+",IF(D24&gt;=0.9,"A",IF(D24&gt;=0.8,"B",IF(D24&gt;=0.7,"C","D")))),"")</f>
        <v/>
      </c>
      <c r="F24" s="24" t="n"/>
      <c r="G24" s="35">
        <f>IF(ISNUMBER(F24),ROUND(F24/7,2),"")</f>
        <v/>
      </c>
      <c r="H24" s="35">
        <f>IF(AND(ISNUMBER(D24),ISNUMBER(G24)),ROUND((D24+G24)/2,2),"")</f>
        <v/>
      </c>
      <c r="I24" s="27">
        <f>IF(ISNUMBER(H24),IF(H24&gt;=1,"A+",IF(H24&gt;=0.9,"A",IF(H24&gt;=0.8,"B",IF(H24&gt;=0.7,"C","D")))),"")</f>
        <v/>
      </c>
      <c r="J24" s="24" t="n"/>
      <c r="K24" s="27">
        <f>IF(ISNUMBER(J24),IF(J24&gt;=96,"A+",IF(J24&gt;=90,"A",IF(J24&gt;=80,"B",IF(J24&gt;=70,"C","D")))),"")</f>
        <v/>
      </c>
      <c r="L24" s="25">
        <f>IF(OR(ISNUMBER(H24),ISNUMBER(J24)),IF(ISNUMBER(H24),IF(H24&gt;=1,2,IF(H24&gt;=0.9,1,0)),0)+IF(ISNUMBER(J24),IF(J24&gt;=96,2,IF(J24&gt;=90,1,0)),0),"")</f>
        <v/>
      </c>
      <c r="M24" s="2" t="n"/>
      <c r="N24" s="2" t="n"/>
    </row>
    <row r="25" ht="25" customHeight="1">
      <c r="A25" s="11" t="n"/>
      <c r="B25" s="4" t="n"/>
      <c r="C25" s="4" t="n"/>
      <c r="D25" s="34" t="n"/>
      <c r="E25" s="27">
        <f>IF(ISNUMBER(D25),IF(D25&gt;=1,"A+",IF(D25&gt;=0.9,"A",IF(D25&gt;=0.8,"B",IF(D25&gt;=0.7,"C","D")))),"")</f>
        <v/>
      </c>
      <c r="F25" s="24" t="n"/>
      <c r="G25" s="35">
        <f>IF(ISNUMBER(F25),ROUND(F25/7,2),"")</f>
        <v/>
      </c>
      <c r="H25" s="35">
        <f>IF(AND(ISNUMBER(D25),ISNUMBER(G25)),ROUND((D25+G25)/2,2),"")</f>
        <v/>
      </c>
      <c r="I25" s="27">
        <f>IF(ISNUMBER(H25),IF(H25&gt;=1,"A+",IF(H25&gt;=0.9,"A",IF(H25&gt;=0.8,"B",IF(H25&gt;=0.7,"C","D")))),"")</f>
        <v/>
      </c>
      <c r="J25" s="24" t="n"/>
      <c r="K25" s="27">
        <f>IF(ISNUMBER(J25),IF(J25&gt;=96,"A+",IF(J25&gt;=90,"A",IF(J25&gt;=80,"B",IF(J25&gt;=70,"C","D")))),"")</f>
        <v/>
      </c>
      <c r="L25" s="25">
        <f>IF(OR(ISNUMBER(H25),ISNUMBER(J25)),IF(ISNUMBER(H25),IF(H25&gt;=1,2,IF(H25&gt;=0.9,1,0)),0)+IF(ISNUMBER(J25),IF(J25&gt;=96,2,IF(J25&gt;=90,1,0)),0),"")</f>
        <v/>
      </c>
      <c r="M25" s="2" t="n"/>
      <c r="N25" s="2" t="n"/>
    </row>
    <row r="26" ht="25" customHeight="1">
      <c r="A26" s="12" t="n"/>
      <c r="B26" s="6" t="n"/>
      <c r="C26" s="6" t="n"/>
      <c r="D26" s="34" t="n"/>
      <c r="E26" s="27">
        <f>IF(ISNUMBER(D26),IF(D26&gt;=1,"A+",IF(D26&gt;=0.9,"A",IF(D26&gt;=0.8,"B",IF(D26&gt;=0.7,"C","D")))),"")</f>
        <v/>
      </c>
      <c r="F26" s="24" t="n"/>
      <c r="G26" s="35">
        <f>IF(ISNUMBER(F26),ROUND(F26/7,2),"")</f>
        <v/>
      </c>
      <c r="H26" s="35">
        <f>IF(AND(ISNUMBER(D26),ISNUMBER(G26)),ROUND((D26+G26)/2,2),"")</f>
        <v/>
      </c>
      <c r="I26" s="27">
        <f>IF(ISNUMBER(H26),IF(H26&gt;=1,"A+",IF(H26&gt;=0.9,"A",IF(H26&gt;=0.8,"B",IF(H26&gt;=0.7,"C","D")))),"")</f>
        <v/>
      </c>
      <c r="J26" s="24" t="n"/>
      <c r="K26" s="27">
        <f>IF(ISNUMBER(J26),IF(J26&gt;=96,"A+",IF(J26&gt;=90,"A",IF(J26&gt;=80,"B",IF(J26&gt;=70,"C","D")))),"")</f>
        <v/>
      </c>
      <c r="L26" s="25">
        <f>IF(OR(ISNUMBER(H26),ISNUMBER(J26)),IF(ISNUMBER(H26),IF(H26&gt;=1,2,IF(H26&gt;=0.9,1,0)),0)+IF(ISNUMBER(J26),IF(J26&gt;=96,2,IF(J26&gt;=90,1,0)),0),"")</f>
        <v/>
      </c>
      <c r="M26" s="2" t="n"/>
      <c r="N26" s="2" t="n"/>
    </row>
    <row r="27" ht="25" customHeight="1">
      <c r="A27" s="11" t="n"/>
      <c r="B27" s="4" t="n"/>
      <c r="C27" s="4" t="n"/>
      <c r="D27" s="34" t="n"/>
      <c r="E27" s="27">
        <f>IF(ISNUMBER(D27),IF(D27&gt;=1,"A+",IF(D27&gt;=0.9,"A",IF(D27&gt;=0.8,"B",IF(D27&gt;=0.7,"C","D")))),"")</f>
        <v/>
      </c>
      <c r="F27" s="24" t="n"/>
      <c r="G27" s="35">
        <f>IF(ISNUMBER(F27),ROUND(F27/7,2),"")</f>
        <v/>
      </c>
      <c r="H27" s="35">
        <f>IF(AND(ISNUMBER(D27),ISNUMBER(G27)),ROUND((D27+G27)/2,2),"")</f>
        <v/>
      </c>
      <c r="I27" s="27">
        <f>IF(ISNUMBER(H27),IF(H27&gt;=1,"A+",IF(H27&gt;=0.9,"A",IF(H27&gt;=0.8,"B",IF(H27&gt;=0.7,"C","D")))),"")</f>
        <v/>
      </c>
      <c r="J27" s="24" t="n"/>
      <c r="K27" s="27">
        <f>IF(ISNUMBER(J27),IF(J27&gt;=96,"A+",IF(J27&gt;=90,"A",IF(J27&gt;=80,"B",IF(J27&gt;=70,"C","D")))),"")</f>
        <v/>
      </c>
      <c r="L27" s="25">
        <f>IF(OR(ISNUMBER(H27),ISNUMBER(J27)),IF(ISNUMBER(H27),IF(H27&gt;=1,2,IF(H27&gt;=0.9,1,0)),0)+IF(ISNUMBER(J27),IF(J27&gt;=96,2,IF(J27&gt;=90,1,0)),0),"")</f>
        <v/>
      </c>
      <c r="M27" s="2" t="n"/>
      <c r="N27" s="2" t="n"/>
    </row>
    <row r="28" ht="25" customHeight="1">
      <c r="A28" s="12" t="n"/>
      <c r="B28" s="6" t="n"/>
      <c r="C28" s="6" t="n"/>
      <c r="D28" s="34" t="n"/>
      <c r="E28" s="27">
        <f>IF(ISNUMBER(D28),IF(D28&gt;=1,"A+",IF(D28&gt;=0.9,"A",IF(D28&gt;=0.8,"B",IF(D28&gt;=0.7,"C","D")))),"")</f>
        <v/>
      </c>
      <c r="F28" s="24" t="n"/>
      <c r="G28" s="35">
        <f>IF(ISNUMBER(F28),ROUND(F28/7,2),"")</f>
        <v/>
      </c>
      <c r="H28" s="35">
        <f>IF(AND(ISNUMBER(D28),ISNUMBER(G28)),ROUND((D28+G28)/2,2),"")</f>
        <v/>
      </c>
      <c r="I28" s="27">
        <f>IF(ISNUMBER(H28),IF(H28&gt;=1,"A+",IF(H28&gt;=0.9,"A",IF(H28&gt;=0.8,"B",IF(H28&gt;=0.7,"C","D")))),"")</f>
        <v/>
      </c>
      <c r="J28" s="24" t="n"/>
      <c r="K28" s="27">
        <f>IF(ISNUMBER(J28),IF(J28&gt;=96,"A+",IF(J28&gt;=90,"A",IF(J28&gt;=80,"B",IF(J28&gt;=70,"C","D")))),"")</f>
        <v/>
      </c>
      <c r="L28" s="25">
        <f>IF(OR(ISNUMBER(H28),ISNUMBER(J28)),IF(ISNUMBER(H28),IF(H28&gt;=1,2,IF(H28&gt;=0.9,1,0)),0)+IF(ISNUMBER(J28),IF(J28&gt;=96,2,IF(J28&gt;=90,1,0)),0),"")</f>
        <v/>
      </c>
      <c r="M28" s="2" t="n"/>
      <c r="N28" s="2" t="n"/>
    </row>
    <row r="29" ht="25" customHeight="1">
      <c r="A29" s="11" t="n"/>
      <c r="B29" s="4" t="n"/>
      <c r="C29" s="4" t="n"/>
      <c r="D29" s="34" t="n"/>
      <c r="E29" s="27">
        <f>IF(ISNUMBER(D29),IF(D29&gt;=1,"A+",IF(D29&gt;=0.9,"A",IF(D29&gt;=0.8,"B",IF(D29&gt;=0.7,"C","D")))),"")</f>
        <v/>
      </c>
      <c r="F29" s="24" t="n"/>
      <c r="G29" s="35">
        <f>IF(ISNUMBER(F29),ROUND(F29/7,2),"")</f>
        <v/>
      </c>
      <c r="H29" s="35">
        <f>IF(AND(ISNUMBER(D29),ISNUMBER(G29)),ROUND((D29+G29)/2,2),"")</f>
        <v/>
      </c>
      <c r="I29" s="27">
        <f>IF(ISNUMBER(H29),IF(H29&gt;=1,"A+",IF(H29&gt;=0.9,"A",IF(H29&gt;=0.8,"B",IF(H29&gt;=0.7,"C","D")))),"")</f>
        <v/>
      </c>
      <c r="J29" s="24" t="n"/>
      <c r="K29" s="27">
        <f>IF(ISNUMBER(J29),IF(J29&gt;=96,"A+",IF(J29&gt;=90,"A",IF(J29&gt;=80,"B",IF(J29&gt;=70,"C","D")))),"")</f>
        <v/>
      </c>
      <c r="L29" s="25">
        <f>IF(OR(ISNUMBER(H29),ISNUMBER(J29)),IF(ISNUMBER(H29),IF(H29&gt;=1,2,IF(H29&gt;=0.9,1,0)),0)+IF(ISNUMBER(J29),IF(J29&gt;=96,2,IF(J29&gt;=90,1,0)),0),"")</f>
        <v/>
      </c>
      <c r="M29" s="2" t="n"/>
      <c r="N29" s="2" t="n"/>
    </row>
    <row r="30" ht="25" customHeight="1">
      <c r="A30" s="12" t="n"/>
      <c r="B30" s="6" t="n"/>
      <c r="C30" s="6" t="n"/>
      <c r="D30" s="34" t="n"/>
      <c r="E30" s="27">
        <f>IF(ISNUMBER(D30),IF(D30&gt;=1,"A+",IF(D30&gt;=0.9,"A",IF(D30&gt;=0.8,"B",IF(D30&gt;=0.7,"C","D")))),"")</f>
        <v/>
      </c>
      <c r="F30" s="24" t="n"/>
      <c r="G30" s="35">
        <f>IF(ISNUMBER(F30),ROUND(F30/7,2),"")</f>
        <v/>
      </c>
      <c r="H30" s="35">
        <f>IF(AND(ISNUMBER(D30),ISNUMBER(G30)),ROUND((D30+G30)/2,2),"")</f>
        <v/>
      </c>
      <c r="I30" s="27">
        <f>IF(ISNUMBER(H30),IF(H30&gt;=1,"A+",IF(H30&gt;=0.9,"A",IF(H30&gt;=0.8,"B",IF(H30&gt;=0.7,"C","D")))),"")</f>
        <v/>
      </c>
      <c r="J30" s="24" t="n"/>
      <c r="K30" s="27">
        <f>IF(ISNUMBER(J30),IF(J30&gt;=96,"A+",IF(J30&gt;=90,"A",IF(J30&gt;=80,"B",IF(J30&gt;=70,"C","D")))),"")</f>
        <v/>
      </c>
      <c r="L30" s="25">
        <f>IF(OR(ISNUMBER(H30),ISNUMBER(J30)),IF(ISNUMBER(H30),IF(H30&gt;=1,2,IF(H30&gt;=0.9,1,0)),0)+IF(ISNUMBER(J30),IF(J30&gt;=96,2,IF(J30&gt;=90,1,0)),0),"")</f>
        <v/>
      </c>
      <c r="M30" s="2" t="n"/>
      <c r="N30" s="2" t="n"/>
    </row>
    <row r="31">
      <c r="A31" s="32" t="inlineStr">
        <is>
          <t>班级情况</t>
        </is>
      </c>
      <c r="B31" s="32" t="inlineStr">
        <is>
          <t>黄色为填写项；完成度、打卡率、平均值以百分比显示。</t>
        </is>
      </c>
    </row>
    <row r="32" ht="30" customHeight="1">
      <c r="A32" s="33" t="inlineStr">
        <is>
          <t>平均值达到100%得2星、90%得1星；朗读分达到96得2星、90得1星。</t>
        </is>
      </c>
    </row>
  </sheetData>
  <autoFilter ref="A2:L30"/>
  <mergeCells count="3">
    <mergeCell ref="B31:L31"/>
    <mergeCell ref="A1:L1"/>
    <mergeCell ref="A32:L32"/>
  </mergeCell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2026-10-11T15:38:23Z</dcterms:created>
  <dcterms:modified xsi:type="dcterms:W3CDTF">2026-10-11T15:38:23Z</dcterms:modified>
</cp:coreProperties>
</file>